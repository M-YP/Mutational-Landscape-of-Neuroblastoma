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ersonal Folders\susfra\Egna artiklar\Relapse paper\Relapse SciRep\Revised October 2020\"/>
    </mc:Choice>
  </mc:AlternateContent>
  <xr:revisionPtr revIDLastSave="0" documentId="13_ncr:1_{59D77840-071D-445F-978D-87277AC35EAB}" xr6:coauthVersionLast="36" xr6:coauthVersionMax="36" xr10:uidLastSave="{00000000-0000-0000-0000-000000000000}"/>
  <bookViews>
    <workbookView xWindow="-1515" yWindow="780" windowWidth="29535" windowHeight="18240" tabRatio="1000" activeTab="2" xr2:uid="{00000000-000D-0000-FFFF-FFFF00000000}"/>
  </bookViews>
  <sheets>
    <sheet name="S1. Sequencing" sheetId="3" r:id="rId1"/>
    <sheet name="S2. Germline genes" sheetId="15" r:id="rId2"/>
    <sheet name="S3. SNV" sheetId="1" r:id="rId3"/>
    <sheet name="S4. SV" sheetId="2" r:id="rId4"/>
    <sheet name="S5. KEGG" sheetId="18" r:id="rId5"/>
  </sheets>
  <definedNames>
    <definedName name="_xlnm._FilterDatabase" localSheetId="2" hidden="1">'S3. SNV'!$A$1:$AB$535</definedName>
    <definedName name="Supplemental_file_1_Cancergenes" localSheetId="1">'S2. Germline genes'!$A$2:$A$566</definedName>
  </definedNames>
  <calcPr calcId="191029"/>
</workbook>
</file>

<file path=xl/calcChain.xml><?xml version="1.0" encoding="utf-8"?>
<calcChain xmlns="http://schemas.openxmlformats.org/spreadsheetml/2006/main">
  <c r="E28" i="3" l="1"/>
  <c r="D28" i="3"/>
  <c r="C28" i="3"/>
  <c r="B28" i="3"/>
  <c r="C10" i="3"/>
  <c r="B10" i="3"/>
  <c r="R28" i="3" l="1"/>
  <c r="Q28" i="3"/>
  <c r="P28" i="3"/>
  <c r="O28" i="3"/>
  <c r="N28" i="3"/>
  <c r="M28" i="3"/>
  <c r="L28" i="3"/>
  <c r="K28" i="3"/>
  <c r="J28" i="3"/>
  <c r="I28" i="3"/>
  <c r="H28" i="3"/>
  <c r="G28" i="3"/>
  <c r="F28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B123" i="1"/>
  <c r="I218" i="2"/>
  <c r="I139" i="2"/>
  <c r="I1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upplemental file 1 Cancergenes" type="6" refreshedVersion="4" background="1" saveData="1">
    <textPr sourceFile="\\130.241.71.153\Hemkataloger\Clingen.gu.se\susfra\Egna artiklar\Relapse paper\Supplemental file 1 Cancergenes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<sst xmlns="http://schemas.openxmlformats.org/spreadsheetml/2006/main" count="14545" uniqueCount="4218">
  <si>
    <t>Sample-ID</t>
  </si>
  <si>
    <t>Chr</t>
  </si>
  <si>
    <t>Position</t>
  </si>
  <si>
    <t>Ref</t>
  </si>
  <si>
    <t>Var</t>
  </si>
  <si>
    <t>Variation Type</t>
  </si>
  <si>
    <t>Gene Region</t>
  </si>
  <si>
    <t>Gene Symbol</t>
  </si>
  <si>
    <t>Protein Variant</t>
  </si>
  <si>
    <t>Coverage sample I</t>
  </si>
  <si>
    <t>Var allele freq sample I</t>
  </si>
  <si>
    <t>Coverage sample II</t>
  </si>
  <si>
    <t>Var allele freq sample II</t>
  </si>
  <si>
    <t>Impact</t>
  </si>
  <si>
    <t>SIFT</t>
  </si>
  <si>
    <t>PP2</t>
  </si>
  <si>
    <t>1000 Genomes Frequency</t>
  </si>
  <si>
    <t>NHLBI ESP Frequency</t>
  </si>
  <si>
    <t>COSMIC ID</t>
  </si>
  <si>
    <t>Cytoband</t>
  </si>
  <si>
    <t>Transcript ID</t>
  </si>
  <si>
    <t>Transcript Variant</t>
  </si>
  <si>
    <t>At diagnosis</t>
  </si>
  <si>
    <t>C</t>
  </si>
  <si>
    <t>T</t>
  </si>
  <si>
    <t>SNV</t>
  </si>
  <si>
    <t>Exonic</t>
  </si>
  <si>
    <t>DYSF</t>
  </si>
  <si>
    <t>p.R1698C; p.R1683C; p.R1684C; p.R1697C; p.R1728C; p.R1718C; p.R1729C; p.R1719C; p.R1735C; p.R1736C; p.R1714C; p.R1704C; p.R1715C; p.R1705C</t>
  </si>
  <si>
    <t>missense</t>
  </si>
  <si>
    <t>Damaging</t>
  </si>
  <si>
    <t>Possibly Damaging</t>
  </si>
  <si>
    <t>p13.2</t>
  </si>
  <si>
    <t>NM_001130455.1; NM_001130977.1; NM_001130978.1; NM_001130984.1; NM_001130987.1; NM_001130976.1; NM_003494.3; NM_001130983.1; NM_001130986.1; NM_001130982.1; NM_001130980.1; NM_001130985.1; NM_001130979.1; NM_001130981.1</t>
  </si>
  <si>
    <t>c.5092C&gt;T; c.5152C&gt;T; c.5047C&gt;T; c.5203C&gt;T; c.5155C&gt;T; c.5206C&gt;T; c.5110C&gt;T; c.5113C&gt;T; c.5185C&gt;T; c.5050C&gt;T; c.5182C&gt;T; c.5143C&gt;T; c.5089C&gt;T; c.5140C&gt;T</t>
  </si>
  <si>
    <t>A</t>
  </si>
  <si>
    <t>Intronic; Exonic</t>
  </si>
  <si>
    <t>NCKAP5</t>
  </si>
  <si>
    <t>p.C1020F</t>
  </si>
  <si>
    <t>Tolerated</t>
  </si>
  <si>
    <t>q21.2</t>
  </si>
  <si>
    <t>NM_207363.2; NM_207481.3</t>
  </si>
  <si>
    <t>c.3059G&gt;T; c.1092+6271G&gt;T</t>
  </si>
  <si>
    <t>G</t>
  </si>
  <si>
    <t>FZD5</t>
  </si>
  <si>
    <t>p.Q472K</t>
  </si>
  <si>
    <t>q33.3</t>
  </si>
  <si>
    <t>NM_003468.3</t>
  </si>
  <si>
    <t>c.1414C&gt;A</t>
  </si>
  <si>
    <t>IMPG2</t>
  </si>
  <si>
    <t>p.A691E</t>
  </si>
  <si>
    <t>Benign</t>
  </si>
  <si>
    <t>q12.3</t>
  </si>
  <si>
    <t>NM_016247.3</t>
  </si>
  <si>
    <t>c.2072C&gt;A</t>
  </si>
  <si>
    <t>p.K1595I</t>
  </si>
  <si>
    <t>Probably Damaging</t>
  </si>
  <si>
    <t>q21</t>
  </si>
  <si>
    <t>NM_001624.3</t>
  </si>
  <si>
    <t>c.4784A&gt;T</t>
  </si>
  <si>
    <t>GAA</t>
  </si>
  <si>
    <t>Deletion</t>
  </si>
  <si>
    <t>SLC2A12</t>
  </si>
  <si>
    <t>p.L66del</t>
  </si>
  <si>
    <t>in-frame</t>
  </si>
  <si>
    <t>q23.2</t>
  </si>
  <si>
    <t>NM_145176.2</t>
  </si>
  <si>
    <t>c.197_199delTTC</t>
  </si>
  <si>
    <t>SAMD5</t>
  </si>
  <si>
    <t>p.E121D</t>
  </si>
  <si>
    <t>q24.3</t>
  </si>
  <si>
    <t>NM_001030060.2</t>
  </si>
  <si>
    <t>c.363G&gt;T</t>
  </si>
  <si>
    <t>ncRNA; Exonic</t>
  </si>
  <si>
    <t>KCNU1</t>
  </si>
  <si>
    <t>p.N1010S</t>
  </si>
  <si>
    <t>p11.23</t>
  </si>
  <si>
    <t>NM_001031836.2; NR_134267.1</t>
  </si>
  <si>
    <t>c.3029A&gt;G</t>
  </si>
  <si>
    <t>SORCS1</t>
  </si>
  <si>
    <t>p.T435fs*32</t>
  </si>
  <si>
    <t>frameshift</t>
  </si>
  <si>
    <t>q25.1</t>
  </si>
  <si>
    <t>NM_001206572.1; NM_001013031.2; NM_052918.4; NM_001206569.1; NM_001206570.1; NM_001206571.1</t>
  </si>
  <si>
    <t>c.1304delC</t>
  </si>
  <si>
    <t>CARNS1</t>
  </si>
  <si>
    <t>p.P212L; p.P335L</t>
  </si>
  <si>
    <t>q13.2</t>
  </si>
  <si>
    <t>NM_020811.1; NM_001166222.1</t>
  </si>
  <si>
    <t>c.635C&gt;T; c.1004C&gt;T</t>
  </si>
  <si>
    <t>SP7</t>
  </si>
  <si>
    <t>p.P102T; p.P84T</t>
  </si>
  <si>
    <t>Activating</t>
  </si>
  <si>
    <t>q13.13</t>
  </si>
  <si>
    <t>NM_001173467.2; NM_001300837.1; NM_152860.1</t>
  </si>
  <si>
    <t>c.304C&gt;A; c.250C&gt;A</t>
  </si>
  <si>
    <t>CGNL1</t>
  </si>
  <si>
    <t>p.R343W</t>
  </si>
  <si>
    <t>q21.3</t>
  </si>
  <si>
    <t>NM_001252335.1; NM_032866.4</t>
  </si>
  <si>
    <t>c.1027C&gt;T</t>
  </si>
  <si>
    <t>ACCAGCCAAA</t>
  </si>
  <si>
    <t>NEURL4</t>
  </si>
  <si>
    <t>p.F1394fs*7; p.F1392fs*7</t>
  </si>
  <si>
    <t>p13.1</t>
  </si>
  <si>
    <t>NM_032442.2; NM_001005408.1</t>
  </si>
  <si>
    <t>c.4180_4189delTTTGGCTGGT; c.4174_4183delTTTGGCTGGT</t>
  </si>
  <si>
    <t>ITGA2B</t>
  </si>
  <si>
    <t>p.E673*</t>
  </si>
  <si>
    <t>stop gain</t>
  </si>
  <si>
    <t>q21.31</t>
  </si>
  <si>
    <t>NM_000419.4</t>
  </si>
  <si>
    <t>c.2017G&gt;T</t>
  </si>
  <si>
    <t>ABCA9</t>
  </si>
  <si>
    <t>p.L117F</t>
  </si>
  <si>
    <t>q24.2</t>
  </si>
  <si>
    <t>NM_080283.3</t>
  </si>
  <si>
    <t>c.351G&gt;T</t>
  </si>
  <si>
    <t>C3</t>
  </si>
  <si>
    <t>p.E1258Q</t>
  </si>
  <si>
    <t>p13.3</t>
  </si>
  <si>
    <t>NM_000064.3</t>
  </si>
  <si>
    <t>c.3772G&gt;C</t>
  </si>
  <si>
    <t>ZNF676</t>
  </si>
  <si>
    <t>p.W432L</t>
  </si>
  <si>
    <t>p12</t>
  </si>
  <si>
    <t>NM_001001411.2</t>
  </si>
  <si>
    <t>c.1295G&gt;T</t>
  </si>
  <si>
    <t>Exonic; 5'UTR</t>
  </si>
  <si>
    <t>GRAMD1A</t>
  </si>
  <si>
    <t>p.C170F; p.C163F; p.C257F</t>
  </si>
  <si>
    <t>q13.12</t>
  </si>
  <si>
    <t>NM_020895.4; NM_001320036.1; NM_001320035.1; NM_001320034.1; NM_001136199.2</t>
  </si>
  <si>
    <t>c.509G&gt;T; c.488G&gt;T; c.770G&gt;T; c.-81G&gt;T</t>
  </si>
  <si>
    <t>BFSP1</t>
  </si>
  <si>
    <t>p.E276K; p.E290K; p.E304K; p.E415K</t>
  </si>
  <si>
    <t>p12.1</t>
  </si>
  <si>
    <t>NM_001195.4; NM_001161705.1; NM_001278606.1; NM_001278607.1; NM_001278608.1</t>
  </si>
  <si>
    <t>c.1243G&gt;A; c.826G&gt;A; c.910G&gt;A; c.868G&gt;A</t>
  </si>
  <si>
    <t>SOGA1</t>
  </si>
  <si>
    <t>p.G1567V</t>
  </si>
  <si>
    <t>q11.23</t>
  </si>
  <si>
    <t>NM_080627.3; NM_199181.2</t>
  </si>
  <si>
    <t>c.4700G&gt;T; c.2993+993G&gt;T</t>
  </si>
  <si>
    <t>TTI1</t>
  </si>
  <si>
    <t>p.Q693K</t>
  </si>
  <si>
    <t>NM_001303457.1; NM_014657.2</t>
  </si>
  <si>
    <t>c.2077C&gt;A</t>
  </si>
  <si>
    <t>CCDC157</t>
  </si>
  <si>
    <t>p.Q22H</t>
  </si>
  <si>
    <t>q12.2</t>
  </si>
  <si>
    <t>NM_001017437.3; NM_001318335.1; NM_001318334.1</t>
  </si>
  <si>
    <t>c.66G&gt;C</t>
  </si>
  <si>
    <t>At relapse</t>
  </si>
  <si>
    <t>C1orf159</t>
  </si>
  <si>
    <t>p.P240L</t>
  </si>
  <si>
    <t>p36.33</t>
  </si>
  <si>
    <t>NM_017891.4; NM_001330306.1</t>
  </si>
  <si>
    <t>c.502+109C&gt;T; c.719C&gt;T</t>
  </si>
  <si>
    <t>CC</t>
  </si>
  <si>
    <t>Substitution</t>
  </si>
  <si>
    <t>p.R239fs*42</t>
  </si>
  <si>
    <t>c.502+106_502+107delGGinsT; c.716_717delGGinsT</t>
  </si>
  <si>
    <t>PYHIN1</t>
  </si>
  <si>
    <t>p.P188R; p.P197R</t>
  </si>
  <si>
    <t>q23.1</t>
  </si>
  <si>
    <t>NM_198929.4; NM_198928.4; NM_198930.3; NM_152501.4</t>
  </si>
  <si>
    <t>c.563C&gt;G; c.590C&gt;G</t>
  </si>
  <si>
    <t>Exonic; ncRNA</t>
  </si>
  <si>
    <t>INTS7</t>
  </si>
  <si>
    <t>p.Q530H; p.Q579H</t>
  </si>
  <si>
    <t>q32.3</t>
  </si>
  <si>
    <t>NM_001199809.1; NM_001199812.1; NM_001199811.1; NM_015434.3; NR_037667.1</t>
  </si>
  <si>
    <t>c.1737A&gt;C; c.1590A&gt;C</t>
  </si>
  <si>
    <t>REG1A</t>
  </si>
  <si>
    <t>p.W149*</t>
  </si>
  <si>
    <t>NM_002909.4</t>
  </si>
  <si>
    <t>c.447G&gt;A</t>
  </si>
  <si>
    <t>CREG2</t>
  </si>
  <si>
    <t>p.R88Q</t>
  </si>
  <si>
    <t>q11.2</t>
  </si>
  <si>
    <t>NM_153836.3</t>
  </si>
  <si>
    <t>c.263G&gt;A</t>
  </si>
  <si>
    <t>UGGT1</t>
  </si>
  <si>
    <t>p.Q967*</t>
  </si>
  <si>
    <t>q14.3</t>
  </si>
  <si>
    <t>NR_027671.2; NM_020120.3</t>
  </si>
  <si>
    <t>c.2899C&gt;T</t>
  </si>
  <si>
    <t>CFAP44</t>
  </si>
  <si>
    <t>p.I156V</t>
  </si>
  <si>
    <t>NM_001164496.1; NM_018338.3</t>
  </si>
  <si>
    <t>c.466A&gt;G</t>
  </si>
  <si>
    <t>CLSTN2</t>
  </si>
  <si>
    <t>p.A732G</t>
  </si>
  <si>
    <t>q23</t>
  </si>
  <si>
    <t>NM_022131.2</t>
  </si>
  <si>
    <t>c.2195C&gt;G</t>
  </si>
  <si>
    <t>PRKG2</t>
  </si>
  <si>
    <t>p.K67N; p.K487N; p.K7N; p.K38N; p.K458N</t>
  </si>
  <si>
    <t>q21.21</t>
  </si>
  <si>
    <t>NM_001282483.1; NM_001282482.1; NM_001282480.1; NM_001282481.1; NM_006259.2; NM_001282485.1</t>
  </si>
  <si>
    <t>c.21G&gt;T; c.201G&gt;T; c.1374G&gt;T; c.1461G&gt;T; c.114G&gt;T</t>
  </si>
  <si>
    <t>DDX60</t>
  </si>
  <si>
    <t>p.L29S</t>
  </si>
  <si>
    <t>NM_017631.5</t>
  </si>
  <si>
    <t>c.86T&gt;C</t>
  </si>
  <si>
    <t>ANKRD31</t>
  </si>
  <si>
    <t>p.Q1669H</t>
  </si>
  <si>
    <t>q13.3</t>
  </si>
  <si>
    <t>NM_001164443.1</t>
  </si>
  <si>
    <t>c.5007G&gt;C</t>
  </si>
  <si>
    <t>Insertion</t>
  </si>
  <si>
    <t>MEGF10</t>
  </si>
  <si>
    <t>p.A826fs*4</t>
  </si>
  <si>
    <t>NM_001256545.1; NM_032446.2</t>
  </si>
  <si>
    <t>c.2471dupA</t>
  </si>
  <si>
    <t>DOCK2</t>
  </si>
  <si>
    <t>p.D1562fs*5</t>
  </si>
  <si>
    <t>q35.1</t>
  </si>
  <si>
    <t>NM_004946.2</t>
  </si>
  <si>
    <t>c.4685delA</t>
  </si>
  <si>
    <t>ZNF391</t>
  </si>
  <si>
    <t>p.G22R</t>
  </si>
  <si>
    <t>p22.1</t>
  </si>
  <si>
    <t>NM_001322289.1; NM_001322293.1; NM_001076781.2; NM_001322288.1</t>
  </si>
  <si>
    <t>c.64G&gt;C</t>
  </si>
  <si>
    <t>COL11A2</t>
  </si>
  <si>
    <t>p.P1460L; p.P1353L; p.P1374L</t>
  </si>
  <si>
    <t>p21.32</t>
  </si>
  <si>
    <t>NM_080679.2; NM_080681.2; NM_080680.2</t>
  </si>
  <si>
    <t>c.4121C&gt;T; c.4058C&gt;T; c.4379C&gt;T</t>
  </si>
  <si>
    <t>ABCB1</t>
  </si>
  <si>
    <t>p.R148G</t>
  </si>
  <si>
    <t>q21.12</t>
  </si>
  <si>
    <t>NM_000927.4</t>
  </si>
  <si>
    <t>c.442A&gt;G</t>
  </si>
  <si>
    <t>TRIP6</t>
  </si>
  <si>
    <t>p.H392R</t>
  </si>
  <si>
    <t>q22.1</t>
  </si>
  <si>
    <t>NM_003302.2</t>
  </si>
  <si>
    <t>c.1175A&gt;G</t>
  </si>
  <si>
    <t>SLC35B4</t>
  </si>
  <si>
    <t>p.G55A</t>
  </si>
  <si>
    <t>q33</t>
  </si>
  <si>
    <t>NM_032826.4</t>
  </si>
  <si>
    <t>c.164G&gt;C</t>
  </si>
  <si>
    <t>ASB10</t>
  </si>
  <si>
    <t>p.R138Q; p.R123Q</t>
  </si>
  <si>
    <t>4943828; 4943826; 4943827</t>
  </si>
  <si>
    <t>q36.1</t>
  </si>
  <si>
    <t>NM_080871.3; NM_001142459.1; NM_001142460.1</t>
  </si>
  <si>
    <t>c.368G&gt;A; c.413G&gt;A</t>
  </si>
  <si>
    <t>WRN</t>
  </si>
  <si>
    <t>p.T642I</t>
  </si>
  <si>
    <t>NM_000553.4</t>
  </si>
  <si>
    <t>c.1925C&gt;T</t>
  </si>
  <si>
    <t>SNTG1</t>
  </si>
  <si>
    <t>p.G411*</t>
  </si>
  <si>
    <t>751303; 751304</t>
  </si>
  <si>
    <t>q11.21</t>
  </si>
  <si>
    <t>NR_135798.1; NM_018967.4; NM_001321777.1; NM_001287814.2; NR_135794.1; NM_001321775.1; NM_001287813.2; NM_001321776.1; NR_135795.1; NM_001321773.1; NR_135796.1; NR_135797.1; NM_001321778.1</t>
  </si>
  <si>
    <t>c.1231G&gt;T</t>
  </si>
  <si>
    <t>ZNF618</t>
  </si>
  <si>
    <t>p.K535M; p.K596M; p.K595M; p.K628M</t>
  </si>
  <si>
    <t>q32</t>
  </si>
  <si>
    <t>NM_133374.2; NM_001318041.1; NM_001318040.1; NM_001318042.1</t>
  </si>
  <si>
    <t>c.1787A&gt;T; c.1883A&gt;T; c.1604A&gt;T; c.1784A&gt;T</t>
  </si>
  <si>
    <t>5'UTR; Exonic</t>
  </si>
  <si>
    <t>FAM107B</t>
  </si>
  <si>
    <t>p.S93*</t>
  </si>
  <si>
    <t>p13</t>
  </si>
  <si>
    <t>NM_031453.3; NM_001282695.1</t>
  </si>
  <si>
    <t>c.278C&gt;G; c.-314C&gt;G</t>
  </si>
  <si>
    <t>Exonic; ncRNA; 5'UTR</t>
  </si>
  <si>
    <t>ZNF25</t>
  </si>
  <si>
    <t>p.R34S; p.R30S</t>
  </si>
  <si>
    <t>p11.1</t>
  </si>
  <si>
    <t>NM_001329651.1; NR_138068.1; NM_001329652.1; NR_138069.1; NR_138065.1; NM_001329664.1; NM_001329658.1; NR_138066.1; NM_145011.3; NM_001329659.1; NM_001329650.1; NR_138067.1; NM_001329649.1; NR_138063.1; NM_001329662.1; NM_001329656.1; NR_138064.1; NM_001329663.1; NM_001329657.1; NM_001329647.1; NM_001329653.1; NM_001329660.1; NM_001329648.1; NR_138062.1; NM_001329654.1; NM_001329661.1; NM_001329655.1</t>
  </si>
  <si>
    <t>c.102G&gt;C; c.-19G&gt;C; c.90G&gt;C</t>
  </si>
  <si>
    <t>P4HA1</t>
  </si>
  <si>
    <t>p.D222N</t>
  </si>
  <si>
    <t>NM_001017962.2; NM_001142596.1; NM_000917.3; NM_001142595.1</t>
  </si>
  <si>
    <t>c.664G&gt;A</t>
  </si>
  <si>
    <t>ABCC2</t>
  </si>
  <si>
    <t>p.Q1179E</t>
  </si>
  <si>
    <t>NM_000392.4</t>
  </si>
  <si>
    <t>c.3535C&gt;G</t>
  </si>
  <si>
    <t>MUC5B</t>
  </si>
  <si>
    <t>p.A665V</t>
  </si>
  <si>
    <t>p15.5</t>
  </si>
  <si>
    <t>NM_002458.2</t>
  </si>
  <si>
    <t>c.1994C&gt;T</t>
  </si>
  <si>
    <t>ANO3</t>
  </si>
  <si>
    <t>p.V428A; p.V574A; p.V635A</t>
  </si>
  <si>
    <t>p14.2</t>
  </si>
  <si>
    <t>NM_001313726.1; NM_031418.3; NM_001313727.1</t>
  </si>
  <si>
    <t>c.1283T&gt;C; c.1904T&gt;C; c.1721T&gt;C</t>
  </si>
  <si>
    <t>OR9G4</t>
  </si>
  <si>
    <t>p.H259N</t>
  </si>
  <si>
    <t>q12.1</t>
  </si>
  <si>
    <t>NM_001005284.1</t>
  </si>
  <si>
    <t>c.775C&gt;A</t>
  </si>
  <si>
    <t>LRRIQ1</t>
  </si>
  <si>
    <t>p.T1359K</t>
  </si>
  <si>
    <t>NM_001079910.1</t>
  </si>
  <si>
    <t>c.4076C&gt;A</t>
  </si>
  <si>
    <t>GJA3</t>
  </si>
  <si>
    <t>p.H95N</t>
  </si>
  <si>
    <t>q12.11</t>
  </si>
  <si>
    <t>NM_021954.3</t>
  </si>
  <si>
    <t>c.283C&gt;A</t>
  </si>
  <si>
    <t>FLT1</t>
  </si>
  <si>
    <t>p.L1150I</t>
  </si>
  <si>
    <t>NM_002019.4</t>
  </si>
  <si>
    <t>c.3448C&gt;A</t>
  </si>
  <si>
    <t>LINGO1</t>
  </si>
  <si>
    <t>p.V237L; p.V243L</t>
  </si>
  <si>
    <t>NM_001301194.1; NM_001301186.1; NM_001301192.1; NM_032808.6; NM_001301189.1; NM_001301187.1; NM_001301198.1; NM_001301191.1; NM_001301199.1; NM_001301195.1; NM_001301200.1; NM_001301197.1</t>
  </si>
  <si>
    <t>c.727G&gt;C; c.709G&gt;C</t>
  </si>
  <si>
    <t>GTF3C1</t>
  </si>
  <si>
    <t>p.V1421M</t>
  </si>
  <si>
    <t>NM_001520.3; NM_001286242.1</t>
  </si>
  <si>
    <t>c.4261G&gt;A</t>
  </si>
  <si>
    <t>POLR2A</t>
  </si>
  <si>
    <t>p.R292C</t>
  </si>
  <si>
    <t>NM_000937.4</t>
  </si>
  <si>
    <t>c.874C&gt;T</t>
  </si>
  <si>
    <t>FADS6</t>
  </si>
  <si>
    <t>p.M279I</t>
  </si>
  <si>
    <t>NM_178128.5</t>
  </si>
  <si>
    <t>c.837G&gt;A</t>
  </si>
  <si>
    <t>DNAH17</t>
  </si>
  <si>
    <t>p.R2788G</t>
  </si>
  <si>
    <t>q25.3</t>
  </si>
  <si>
    <t>NM_173628.3</t>
  </si>
  <si>
    <t>c.8362C&gt;G</t>
  </si>
  <si>
    <t>EIF4A3</t>
  </si>
  <si>
    <t>p.A280V</t>
  </si>
  <si>
    <t>NM_014740.3</t>
  </si>
  <si>
    <t>c.839C&gt;T</t>
  </si>
  <si>
    <t>FN3KRP</t>
  </si>
  <si>
    <t>p.S58R</t>
  </si>
  <si>
    <t>NR_046408.1; NM_024619.3</t>
  </si>
  <si>
    <t>c.172A&gt;C</t>
  </si>
  <si>
    <t>DLGAP1</t>
  </si>
  <si>
    <t>p.D470E; p.D460E; p.D484E; p.D762E; p.D478E; p.D446E; p.D468E</t>
  </si>
  <si>
    <t>p11.31</t>
  </si>
  <si>
    <t>NM_001308390.1; NM_001242765.1; NM_001003809.2; NM_001242763.1; NM_001242762.1; NM_001242766.1; NM_001242764.1; NM_004746.3; NM_001242761.1</t>
  </si>
  <si>
    <t>c.1380C&gt;A; c.1404C&gt;A; c.1434C&gt;A; c.1452C&gt;A; c.2286C&gt;A; c.1338C&gt;A; c.1410C&gt;A</t>
  </si>
  <si>
    <t>SS18</t>
  </si>
  <si>
    <t>p.P336T; p.P367T; p.P344T</t>
  </si>
  <si>
    <t>NM_005637.3; NM_001007559.2; NM_001308201.1</t>
  </si>
  <si>
    <t>c.1099C&gt;A; c.1006C&gt;A; c.1030C&gt;A</t>
  </si>
  <si>
    <t>SETBP1</t>
  </si>
  <si>
    <t>p.K419E</t>
  </si>
  <si>
    <t>NM_015559.2</t>
  </si>
  <si>
    <t>c.1255A&gt;G</t>
  </si>
  <si>
    <t>MUC16</t>
  </si>
  <si>
    <t>p.V2550M</t>
  </si>
  <si>
    <t>NM_024690.2</t>
  </si>
  <si>
    <t>c.7648G&gt;A</t>
  </si>
  <si>
    <t>ZNF814</t>
  </si>
  <si>
    <t>p.V204G</t>
  </si>
  <si>
    <t>q13.43</t>
  </si>
  <si>
    <t>NM_001144989.1</t>
  </si>
  <si>
    <t>c.611T&gt;G</t>
  </si>
  <si>
    <t>SLC27A5</t>
  </si>
  <si>
    <t>p.R110P</t>
  </si>
  <si>
    <t>NM_012254.2; NM_001321196.1</t>
  </si>
  <si>
    <t>c.329G&gt;C</t>
  </si>
  <si>
    <t>CDK5RAP1</t>
  </si>
  <si>
    <t>p.N233D; p.N260D; p.N261D</t>
  </si>
  <si>
    <t>NM_001278168.1; NM_016082.4; NM_001278169.1; NM_016408.3; NM_001278167.1</t>
  </si>
  <si>
    <t>c.778A&gt;G; c.697A&gt;G; c.781A&gt;G</t>
  </si>
  <si>
    <t>TRPM2</t>
  </si>
  <si>
    <t>p.F1020V</t>
  </si>
  <si>
    <t>q22.3</t>
  </si>
  <si>
    <t>NM_001320350.1; NR_038257.1; NM_003307.3; NM_001320351.1</t>
  </si>
  <si>
    <t>c.3058T&gt;G</t>
  </si>
  <si>
    <t>X</t>
  </si>
  <si>
    <t>USP9X</t>
  </si>
  <si>
    <t>p.L510R</t>
  </si>
  <si>
    <t>p11.4</t>
  </si>
  <si>
    <t>NM_001039591.2; NM_001039590.2</t>
  </si>
  <si>
    <t>c.1529T&gt;G</t>
  </si>
  <si>
    <t>USP11</t>
  </si>
  <si>
    <t>p.V425L</t>
  </si>
  <si>
    <t>NM_004651.3</t>
  </si>
  <si>
    <t>c.1273G&gt;C</t>
  </si>
  <si>
    <t>CITED1</t>
  </si>
  <si>
    <t>p.H112N; p.H86N</t>
  </si>
  <si>
    <t>q13.1</t>
  </si>
  <si>
    <t>NM_004143.3; NM_001144885.1; NM_001144886.1; NM_001144887.1</t>
  </si>
  <si>
    <t>c.334C&gt;A; c.256C&gt;A</t>
  </si>
  <si>
    <t>GLI2</t>
  </si>
  <si>
    <t>p.T607K</t>
  </si>
  <si>
    <t>q14.2</t>
  </si>
  <si>
    <t>NM_005270.4</t>
  </si>
  <si>
    <t>c.1820C&gt;A</t>
  </si>
  <si>
    <t>CREB1</t>
  </si>
  <si>
    <t>p.L179V; p.L193V</t>
  </si>
  <si>
    <t>NM_134442.4; NM_001320793.1; NM_004379.4; NR_135473.1</t>
  </si>
  <si>
    <t>c.577C&gt;G; c.535C&gt;G</t>
  </si>
  <si>
    <t>ABCB5</t>
  </si>
  <si>
    <t>p.A375S; p.A820S</t>
  </si>
  <si>
    <t>p21.1</t>
  </si>
  <si>
    <t>NM_178559.5; NM_001163941.1</t>
  </si>
  <si>
    <t>c.2458G&gt;T; c.1123G&gt;T</t>
  </si>
  <si>
    <t>PCLO</t>
  </si>
  <si>
    <t>p.D2180H</t>
  </si>
  <si>
    <t>q21.11</t>
  </si>
  <si>
    <t>NM_014510.2; NM_033026.5</t>
  </si>
  <si>
    <t>c.6538G&gt;C</t>
  </si>
  <si>
    <t>RELN</t>
  </si>
  <si>
    <t>p.M934V</t>
  </si>
  <si>
    <t>NM_173054.2; NM_005045.3</t>
  </si>
  <si>
    <t>c.2800A&gt;G</t>
  </si>
  <si>
    <t>CADPS2</t>
  </si>
  <si>
    <t>p.T1245S; p.T1286S; p.T1290S</t>
  </si>
  <si>
    <t>q31.32</t>
  </si>
  <si>
    <t>NM_017954.10; NM_001009571.3; NM_001167940.1</t>
  </si>
  <si>
    <t>c.3734C&gt;G; c.3857C&gt;G; c.3869C&gt;G</t>
  </si>
  <si>
    <t>UNC5D</t>
  </si>
  <si>
    <t>p.W309R; p.W314R</t>
  </si>
  <si>
    <t>NM_080872.3; NM_001322818.1</t>
  </si>
  <si>
    <t>c.940T&gt;C; c.925T&gt;C</t>
  </si>
  <si>
    <t>C8orf4</t>
  </si>
  <si>
    <t>p.R79P</t>
  </si>
  <si>
    <t>p11.21</t>
  </si>
  <si>
    <t>NM_020130.4</t>
  </si>
  <si>
    <t>c.236G&gt;C</t>
  </si>
  <si>
    <t>ZFAT</t>
  </si>
  <si>
    <t>p.E26V; p.E38V</t>
  </si>
  <si>
    <t>q24.22</t>
  </si>
  <si>
    <t>NM_001029939.3; NM_001174157.1; NR_110323.1; NM_001167583.2; NM_020863.3; NM_001289394.1; NM_001174158.1</t>
  </si>
  <si>
    <t>c.113A&gt;T; c.77A&gt;T</t>
  </si>
  <si>
    <t>TUBB8</t>
  </si>
  <si>
    <t>p.Y50H</t>
  </si>
  <si>
    <t>p15.3</t>
  </si>
  <si>
    <t>NM_177987.2</t>
  </si>
  <si>
    <t>c.148T&gt;C</t>
  </si>
  <si>
    <t>WAPL</t>
  </si>
  <si>
    <t>p.C713F; p.C719F</t>
  </si>
  <si>
    <t>NM_001318328.1; NM_015045.3</t>
  </si>
  <si>
    <t>c.2156G&gt;T; c.2138G&gt;T</t>
  </si>
  <si>
    <t>SPTBN2</t>
  </si>
  <si>
    <t>p.K2304N</t>
  </si>
  <si>
    <t>NM_006946.2</t>
  </si>
  <si>
    <t>c.6912A&gt;C</t>
  </si>
  <si>
    <t>YAP1</t>
  </si>
  <si>
    <t>p.R233Q; p.R373Q; p.R395Q; p.R361Q; p.R357Q; p.R411Q; p.R399Q; p.R377Q; p.R415Q</t>
  </si>
  <si>
    <t>NM_001282099.1; NM_006106.4; NM_001282100.1; NM_001282098.1; NM_001130145.2; NM_001195044.1; NM_001195045.1; NM_001282101.1; NM_001282097.1</t>
  </si>
  <si>
    <t>c.1118G&gt;A; c.1130G&gt;A; c.1070G&gt;A; c.1082G&gt;A; c.698G&gt;A; c.1232G&gt;A; c.1244G&gt;A; c.1196G&gt;A; c.1184G&gt;A</t>
  </si>
  <si>
    <t>EXPH5</t>
  </si>
  <si>
    <t>p.E1145*; p.E1221*; p.E1065*; p.E1214*; p.E1033*</t>
  </si>
  <si>
    <t>NM_001144765.1; NM_001144764.1; NM_001308019.1; NM_001144763.1; NM_015065.2</t>
  </si>
  <si>
    <t>c.3193G&gt;T; c.3433G&gt;T; c.3661G&gt;T; c.3640G&gt;T; c.3097G&gt;T</t>
  </si>
  <si>
    <t>GPR162</t>
  </si>
  <si>
    <t>p.R411P; p.R127P</t>
  </si>
  <si>
    <t>p13.31</t>
  </si>
  <si>
    <t>NM_014449.1; NM_019858.1</t>
  </si>
  <si>
    <t>c.380G&gt;C; c.1232G&gt;C</t>
  </si>
  <si>
    <t>TAS2R9</t>
  </si>
  <si>
    <t>p.F280L</t>
  </si>
  <si>
    <t>NM_023917.2</t>
  </si>
  <si>
    <t>c.840C&gt;A</t>
  </si>
  <si>
    <t>MUC19</t>
  </si>
  <si>
    <t>p.G3093V</t>
  </si>
  <si>
    <t>q12</t>
  </si>
  <si>
    <t>NM_173600.2</t>
  </si>
  <si>
    <t>c.9278G&gt;T</t>
  </si>
  <si>
    <t>p.G5940E</t>
  </si>
  <si>
    <t>c.17819G&gt;A</t>
  </si>
  <si>
    <t>EVPL</t>
  </si>
  <si>
    <t>p.V155M</t>
  </si>
  <si>
    <t>NM_001320747.1; NM_001988.3</t>
  </si>
  <si>
    <t>c.463G&gt;A</t>
  </si>
  <si>
    <t>ZNF516</t>
  </si>
  <si>
    <t>p.Q46K</t>
  </si>
  <si>
    <t>NM_014643.3</t>
  </si>
  <si>
    <t>c.136C&gt;A</t>
  </si>
  <si>
    <t>ATP8B3</t>
  </si>
  <si>
    <t>p.Y116F; p.Y63F</t>
  </si>
  <si>
    <t>NM_001178002.2; NR_047593.2; NM_138813.3</t>
  </si>
  <si>
    <t>c.347A&gt;T; c.188A&gt;T</t>
  </si>
  <si>
    <t>Splice Site Loss</t>
  </si>
  <si>
    <t>LRRC8E</t>
  </si>
  <si>
    <t>p.D791G; p.D662G</t>
  </si>
  <si>
    <t>NM_001268284.2; NM_001268285.2; NM_025061.5</t>
  </si>
  <si>
    <t>c.2372A&gt;G; c.1985A&gt;G</t>
  </si>
  <si>
    <t>CSF2RB</t>
  </si>
  <si>
    <t>p.V449M</t>
  </si>
  <si>
    <t>NM_000395.2</t>
  </si>
  <si>
    <t>c.1345G&gt;A</t>
  </si>
  <si>
    <t>PNPLA3</t>
  </si>
  <si>
    <t>p.Q370*</t>
  </si>
  <si>
    <t>q13.31</t>
  </si>
  <si>
    <t>NM_025225.2</t>
  </si>
  <si>
    <t>c.1108C&gt;T</t>
  </si>
  <si>
    <t>CXorf21</t>
  </si>
  <si>
    <t>p.T82K</t>
  </si>
  <si>
    <t>p21.2</t>
  </si>
  <si>
    <t>NM_025159.2</t>
  </si>
  <si>
    <t>c.245C&gt;A</t>
  </si>
  <si>
    <t>Common</t>
  </si>
  <si>
    <t>GMPS</t>
  </si>
  <si>
    <t>p.A547G</t>
  </si>
  <si>
    <t>q25.31</t>
  </si>
  <si>
    <t>NM_003875.2</t>
  </si>
  <si>
    <t>c.1640C&gt;G</t>
  </si>
  <si>
    <t>PHOX2B</t>
  </si>
  <si>
    <t>p.G230fs</t>
  </si>
  <si>
    <t>NM_003924.3</t>
  </si>
  <si>
    <t>c.687dupC</t>
  </si>
  <si>
    <t>FAT1</t>
  </si>
  <si>
    <t>p.E1027D</t>
  </si>
  <si>
    <t>q35.2</t>
  </si>
  <si>
    <t>ENST00000441802.6; NM_005245.3; ENST00000614102.4</t>
  </si>
  <si>
    <t>c.3081G&gt;T</t>
  </si>
  <si>
    <t>Exonic; 3'UTR</t>
  </si>
  <si>
    <t>p.C266R; p.C303R; p.C269R</t>
  </si>
  <si>
    <t>ENST00000564130.2; ENST00000568866.5; ENST00000568584.5; NM_177987.2; ENST00000561967.1</t>
  </si>
  <si>
    <t>c.907T&gt;C; c.796T&gt;C; c.*570T&gt;C; c.805T&gt;C</t>
  </si>
  <si>
    <t>GIMAP6</t>
  </si>
  <si>
    <t>p.G205R; p.G275R</t>
  </si>
  <si>
    <t>ENST00000618759.4; ENST00000493969.2; NM_024711.5; NM_001244072.1; NM_001244071.1; ENST00000328902.9</t>
  </si>
  <si>
    <t>c.*200G&gt;C; c.613G&gt;C; c.823G&gt;C</t>
  </si>
  <si>
    <t>GIMAP2</t>
  </si>
  <si>
    <t>p.S83P</t>
  </si>
  <si>
    <t>NM_015660.2; ENST00000223293.9</t>
  </si>
  <si>
    <t>c.247T&gt;C</t>
  </si>
  <si>
    <t>ACTRT2</t>
  </si>
  <si>
    <t>p.F2I</t>
  </si>
  <si>
    <t>p36.32</t>
  </si>
  <si>
    <t>NM_080431.4; ENST00000378404.3</t>
  </si>
  <si>
    <t>c.4T&gt;A</t>
  </si>
  <si>
    <t>STX12</t>
  </si>
  <si>
    <t>p.R97C</t>
  </si>
  <si>
    <t>5735344; 5735345</t>
  </si>
  <si>
    <t>p35.3</t>
  </si>
  <si>
    <t>ENST00000373943.8; NM_177424.2</t>
  </si>
  <si>
    <t>c.289C&gt;T</t>
  </si>
  <si>
    <t>Splice Site in UTR; Splice Site</t>
  </si>
  <si>
    <t>B4GALT2</t>
  </si>
  <si>
    <t>p34.1</t>
  </si>
  <si>
    <t>NM_003780.4; ENST00000434555.6; ENST00000372324.5; ENST00000356836.10; ENST00000309519.8; NM_001005417.2; NM_030587.2</t>
  </si>
  <si>
    <t>c.36-1G&gt;T; c.-206-1G&gt;T; c.-52-1G&gt;T</t>
  </si>
  <si>
    <t>CGN</t>
  </si>
  <si>
    <t>p.E402V</t>
  </si>
  <si>
    <t>ENST00000271636.11; NM_020770.2</t>
  </si>
  <si>
    <t>c.1205A&gt;T</t>
  </si>
  <si>
    <t>PGLYRP4</t>
  </si>
  <si>
    <t>p.P207T; p.P211T</t>
  </si>
  <si>
    <t>ENST00000368739.3; NM_020393.3; ENST00000359650.9</t>
  </si>
  <si>
    <t>c.619C&gt;A; c.631C&gt;A</t>
  </si>
  <si>
    <t>TDRD5</t>
  </si>
  <si>
    <t>p.A386V</t>
  </si>
  <si>
    <t>q25.2</t>
  </si>
  <si>
    <t>ENST00000367614.5; ENST00000444136.5; NM_001349923.1; NM_001199089.2; NM_001199091.1; NM_001199085.2; NM_001199092.1; ENST00000294848.12; NM_173533.4</t>
  </si>
  <si>
    <t>c.1157C&gt;T; c.-179C&gt;T</t>
  </si>
  <si>
    <t>NR5A2</t>
  </si>
  <si>
    <t>p.M175L; p.M247L; p.M201L</t>
  </si>
  <si>
    <t>q32.1</t>
  </si>
  <si>
    <t>ENST00000544748.5; ENST00000236914.7; NM_001276464.1; NM_205860.2; NM_003822.4; ENST00000367362.7</t>
  </si>
  <si>
    <t>c.739A&gt;C; c.601A&gt;C; c.523A&gt;C</t>
  </si>
  <si>
    <t>Splice Site</t>
  </si>
  <si>
    <t>ZNF638</t>
  </si>
  <si>
    <t>NM_001014972.2; NM_001252612.1; NM_001252613.1; ENST00000264447.8; ENST00000409544.5; NM_014497.4</t>
  </si>
  <si>
    <t>c.4525-1G&gt;T</t>
  </si>
  <si>
    <t>ACOXL</t>
  </si>
  <si>
    <t>p.R95S</t>
  </si>
  <si>
    <t>q13</t>
  </si>
  <si>
    <t>NM_001142807.1; ENST00000340561.8; ENST00000439055.5; ENST00000389811.8</t>
  </si>
  <si>
    <t>c.285G&gt;T</t>
  </si>
  <si>
    <t>KIAA2012</t>
  </si>
  <si>
    <t>p.N622K; p.N657K</t>
  </si>
  <si>
    <t>q33.1</t>
  </si>
  <si>
    <t>ENST00000498697.2; ENST00000541917.6; NM_001277372.2</t>
  </si>
  <si>
    <t>c.1866C&gt;A; c.1971C&gt;A</t>
  </si>
  <si>
    <t>q35</t>
  </si>
  <si>
    <t>CSRNP1</t>
  </si>
  <si>
    <t>p.E248D; p.E268D</t>
  </si>
  <si>
    <t>p22.2</t>
  </si>
  <si>
    <t>ENST00000514182.1; ENST00000273153.9; NM_033027.3; NM_001320559.1; NM_001320560.1</t>
  </si>
  <si>
    <t>c.744G&gt;C; c.804G&gt;C</t>
  </si>
  <si>
    <t>MYH15</t>
  </si>
  <si>
    <t>p.I89T</t>
  </si>
  <si>
    <t>NM_014981.1; ENST00000273353.3</t>
  </si>
  <si>
    <t>c.266T&gt;C</t>
  </si>
  <si>
    <t>Exonic; Intronic</t>
  </si>
  <si>
    <t>NOP14</t>
  </si>
  <si>
    <t>p.N270Y</t>
  </si>
  <si>
    <t>p16.3</t>
  </si>
  <si>
    <t>NM_003703.2; ENST00000398071.4; ENST00000502735.5; NM_001291979.1; ENST00000416614.6; ENST00000503709.1; NM_001291978.1; ENST00000314262.10</t>
  </si>
  <si>
    <t>c.808A&gt;T; n.1231+1781T&gt;A</t>
  </si>
  <si>
    <t>TMEM131L</t>
  </si>
  <si>
    <t>p.A1272V; p.A1273V</t>
  </si>
  <si>
    <t>q31.3</t>
  </si>
  <si>
    <t>NM_015196.3; ENST00000409959.7; NM_001131007.1; ENST00000409663.7</t>
  </si>
  <si>
    <t>c.3815C&gt;T; c.3818C&gt;T</t>
  </si>
  <si>
    <t>Promoter; Exonic; Intronic</t>
  </si>
  <si>
    <t>TRIO</t>
  </si>
  <si>
    <t>p.S2476C</t>
  </si>
  <si>
    <t>p15.2</t>
  </si>
  <si>
    <t>NM_007118.3; ENST00000344204.8; NR_134469.1; ENST00000620511.1; ENST00000344135.5</t>
  </si>
  <si>
    <t>c.-887A&gt;T; c.7426A&gt;T; n.7126+324A&gt;T; c.705+6436A&gt;T</t>
  </si>
  <si>
    <t>AP3B1</t>
  </si>
  <si>
    <t>p.L47P</t>
  </si>
  <si>
    <t>q14.1</t>
  </si>
  <si>
    <t>ENST00000255194.10; NM_001271769.1; ENST00000519295.5; NM_003664.4</t>
  </si>
  <si>
    <t>c.140T&gt;C; c.-8T&gt;C</t>
  </si>
  <si>
    <t>ISOC1</t>
  </si>
  <si>
    <t>p.G46D</t>
  </si>
  <si>
    <t>q23.3</t>
  </si>
  <si>
    <t>ENST00000173527.5; NM_016048.2</t>
  </si>
  <si>
    <t>c.137G&gt;A</t>
  </si>
  <si>
    <t>C6orf222</t>
  </si>
  <si>
    <t>p.P476T</t>
  </si>
  <si>
    <t>p21.31</t>
  </si>
  <si>
    <t>ENST00000437635.2; NM_001010903.4</t>
  </si>
  <si>
    <t>c.1426C&gt;A</t>
  </si>
  <si>
    <t>TDRD6</t>
  </si>
  <si>
    <t>p.Q285K</t>
  </si>
  <si>
    <t>p12.3</t>
  </si>
  <si>
    <t>NM_001168359.1; NR_134644.1; ENST00000316081.10; NM_001010870.2; NR_134643.1; ENST00000434329.2; NR_134642.1; NR_144468.1; ENST00000422284.6; ENST00000544460.5</t>
  </si>
  <si>
    <t>n.1373-6840C&gt;A; n.-1148G&gt;T; n.-816G&gt;T; n.-1181G&gt;T; c.853C&gt;A</t>
  </si>
  <si>
    <t>ZNF316</t>
  </si>
  <si>
    <t>p.A788V</t>
  </si>
  <si>
    <t>NM_001278559.1; ENST00000382252.5</t>
  </si>
  <si>
    <t>c.2363C&gt;T</t>
  </si>
  <si>
    <t>VPS41</t>
  </si>
  <si>
    <t>p.G172W; p.G147W</t>
  </si>
  <si>
    <t>p14.1</t>
  </si>
  <si>
    <t>ENST00000310301.8; NM_080631.3; NM_014396.3; ENST00000395969.6</t>
  </si>
  <si>
    <t>c.439G&gt;T; c.514G&gt;T</t>
  </si>
  <si>
    <t>VGF</t>
  </si>
  <si>
    <t>p.V476A</t>
  </si>
  <si>
    <t>ENST00000445482.2; ENST00000611537.1; NM_003378.3; ENST00000249330.2</t>
  </si>
  <si>
    <t>c.1427T&gt;C; c.1031+394T&gt;C</t>
  </si>
  <si>
    <t>ZNF800</t>
  </si>
  <si>
    <t>p.D208G</t>
  </si>
  <si>
    <t>q31.33</t>
  </si>
  <si>
    <t>ENST00000265827.7; ENST00000393313.5; ENST00000619291.4; NM_176814.4; ENST00000393312.5</t>
  </si>
  <si>
    <t>c.623A&gt;G</t>
  </si>
  <si>
    <t>FSCN3</t>
  </si>
  <si>
    <t>p.D412Y</t>
  </si>
  <si>
    <t>NM_020369.2; ENST00000265825.5</t>
  </si>
  <si>
    <t>c.1234G&gt;T</t>
  </si>
  <si>
    <t>OSR2</t>
  </si>
  <si>
    <t>p.L111S</t>
  </si>
  <si>
    <t>q22.2</t>
  </si>
  <si>
    <t>NM_053001.3; ENST00000297565.8; ENST00000522510.5; ENST00000457907.3; NM_001142462.2; NM_001286841.1; ENST00000435298.6; ENST00000523368.5</t>
  </si>
  <si>
    <t>c.332T&gt;C; c.-32T&gt;C</t>
  </si>
  <si>
    <t>TG</t>
  </si>
  <si>
    <t>p.S2757R; p.S890R</t>
  </si>
  <si>
    <t>ENST00000220616.8; ENST00000519543.5; NM_003235.4</t>
  </si>
  <si>
    <t>c.8271C&gt;A; c.2670C&gt;A</t>
  </si>
  <si>
    <t>p.L2758F; p.L891F</t>
  </si>
  <si>
    <t>c.2671C&gt;T; c.8272C&gt;T</t>
  </si>
  <si>
    <t>ANKRD20A4</t>
  </si>
  <si>
    <t>p.G772E</t>
  </si>
  <si>
    <t>NM_001098805.1; NR_146419.1; ENST00000357336.3</t>
  </si>
  <si>
    <t>c.2315G&gt;A; n.2608G&gt;A</t>
  </si>
  <si>
    <t>Exonic; Intronic; ncRNA</t>
  </si>
  <si>
    <t>GDA</t>
  </si>
  <si>
    <t>p.D356Y; p.D434Y; p.D392Y; p.D360Y</t>
  </si>
  <si>
    <t>q21.13</t>
  </si>
  <si>
    <t>NM_001351572.1; NM_001242507.2; ENST00000358399.7; ENST00000545168.5; NM_001351573.1; NM_004293.4; ENST00000376986.5; NR_147240.1; NM_001351571.1; NM_001242506.2; NM_001242505.2; ENST00000238018.8</t>
  </si>
  <si>
    <t>c.1300G&gt;T; c.1294+844G&gt;T; c.1078G&gt;T; c.1066G&gt;T; c.1174G&gt;T; n.1509G&gt;T</t>
  </si>
  <si>
    <t>GTF3C5</t>
  </si>
  <si>
    <t>p.L132F</t>
  </si>
  <si>
    <t>q34.2</t>
  </si>
  <si>
    <t>NM_001122823.1; ENST00000342018.12; NM_012087.3; NM_001286709.1; ENST00000372099.10; ENST00000372108.9; ENST00000372097.9</t>
  </si>
  <si>
    <t>c.396G&gt;C; c.51-7033G&gt;C</t>
  </si>
  <si>
    <t>GGCCC</t>
  </si>
  <si>
    <t>CHAT</t>
  </si>
  <si>
    <t>p.R741fs?; p.R362fs?; p.R623fs?; p.R659fs?</t>
  </si>
  <si>
    <t>ENST00000339797.5; ENST00000351556.7; NM_020984.3; ENST00000640822.1; NM_001142933.1; ENST00000337653.6; NM_020985.3; ENST00000395562.2; NM_001142934.1; NM_020549.4; NM_020986.3; ENST00000395559.6; NM_001142929.1</t>
  </si>
  <si>
    <t>c.1085_1089delGGCCC; c.1976_1980delGGCCC; c.2222_2226delGGCCC; c.1868_1872delGGCCC</t>
  </si>
  <si>
    <t>A1CF</t>
  </si>
  <si>
    <t>p.G136E; p.G128E</t>
  </si>
  <si>
    <t>NM_014576.3; ENST00000374001.6; ENST00000282641.6; ENST00000373997.7; ENST00000373993.5; NM_138933.2; NM_001198818.1; NM_138932.2; NM_001198820.1; ENST00000373995.7; ENST00000395495.5; ENST00000395489.6; NM_001198819.1</t>
  </si>
  <si>
    <t>c.383G&gt;A; c.407G&gt;A</t>
  </si>
  <si>
    <t>Exonic; Intronic; ncRNA; 5'UTR</t>
  </si>
  <si>
    <t>ENTPD1</t>
  </si>
  <si>
    <t>p.D3E</t>
  </si>
  <si>
    <t>q24.1</t>
  </si>
  <si>
    <t>NM_001164181.1; ENST00000416301.5; NM_001164182.1; ENST00000453258.6; ENST00000371207.8; ENST00000543964.6; NM_001164178.1; NM_001164179.1; NR_038444.1; ENST00000371205.4; NM_001098175.1; NM_001320916.1; NM_001312654.1; NM_001776.5; NM_001164183.1</t>
  </si>
  <si>
    <t>n.1220A&gt;T; c.52+482T&gt;A; c.37+44255T&gt;A; c.-355+482T&gt;A; c.9T&gt;A; c.-181+482T&gt;A; c.-255T&gt;A; n.1199A&gt;T; c.-137T&gt;A</t>
  </si>
  <si>
    <t>TGCA</t>
  </si>
  <si>
    <t>GFRA1</t>
  </si>
  <si>
    <t>p.Q111fs*5</t>
  </si>
  <si>
    <t>NM_145793.4; ENST00000439649.7; NM_001145453.2; NM_001348098.1; ENST00000355422.10; NM_001348096.1; ENST00000369236.5; NM_005264.5</t>
  </si>
  <si>
    <t>c.329_332dupTGCA</t>
  </si>
  <si>
    <t>Exonic; ncRNA; Intronic</t>
  </si>
  <si>
    <t>AP2A2</t>
  </si>
  <si>
    <t>p.V865F; p.V866F</t>
  </si>
  <si>
    <t>NR_144509.1; ENST00000448903.6; NM_012305.3; NR_144510.1; ENST00000534328.5; NM_001242837.1; ENST00000332231.9</t>
  </si>
  <si>
    <t>c.978-1165G&gt;T; c.2596G&gt;T; n.2642G&gt;T; c.2593G&gt;T; n.2639G&gt;T</t>
  </si>
  <si>
    <t>MUC6</t>
  </si>
  <si>
    <t>p.A240D</t>
  </si>
  <si>
    <t>NM_005961.2; ENST00000421673.6</t>
  </si>
  <si>
    <t>c.719C&gt;A</t>
  </si>
  <si>
    <t>SMIM35</t>
  </si>
  <si>
    <t>p.V44L</t>
  </si>
  <si>
    <t>ENST00000636151.1; NM_001354434.1</t>
  </si>
  <si>
    <t>c.130G&gt;T; c.8-16153G&gt;T</t>
  </si>
  <si>
    <t>KRAS</t>
  </si>
  <si>
    <t>p.K117N</t>
  </si>
  <si>
    <t>1256061; 30612; 19940</t>
  </si>
  <si>
    <t>ENST00000311936.7; ENST00000557334.5; NM_033360.3; NM_004985.4; ENST00000256078.8</t>
  </si>
  <si>
    <t>c.112-15802A&gt;C; c.351A&gt;C</t>
  </si>
  <si>
    <t>Intronic; ncRNA; Exonic</t>
  </si>
  <si>
    <t>ALDH1L2</t>
  </si>
  <si>
    <t>p.D483H</t>
  </si>
  <si>
    <t>ENST00000622317.5; NM_001034173.3; ENST00000258494.13; NR_027752.1</t>
  </si>
  <si>
    <t>c.*31-8253C&gt;G; c.1447G&gt;C; n.1570G&gt;C</t>
  </si>
  <si>
    <t>POLE</t>
  </si>
  <si>
    <t>p.K182N; p.K209N</t>
  </si>
  <si>
    <t>q24.33</t>
  </si>
  <si>
    <t>ENST00000320574.9; NM_006231.3; ENST00000535270.5</t>
  </si>
  <si>
    <t>c.627G&gt;T; c.546G&gt;T</t>
  </si>
  <si>
    <t>MYO16</t>
  </si>
  <si>
    <t>p.P1661L; p.P1639L</t>
  </si>
  <si>
    <t>ENST00000357550.3; ENST00000457511.6; NM_015011.2; ENST00000356711.6; NM_001198950.2</t>
  </si>
  <si>
    <t>c.4916C&gt;T; c.4982C&gt;T</t>
  </si>
  <si>
    <t>MYH6</t>
  </si>
  <si>
    <t>p.A1685D</t>
  </si>
  <si>
    <t>ENST00000405093.7; NM_002471.3; ENST00000356287.3</t>
  </si>
  <si>
    <t>c.5054C&gt;A</t>
  </si>
  <si>
    <t>p.A1685P</t>
  </si>
  <si>
    <t>c.5053G&gt;C</t>
  </si>
  <si>
    <t>q26.1</t>
  </si>
  <si>
    <t>NOMO3</t>
  </si>
  <si>
    <t>p.E603V</t>
  </si>
  <si>
    <t>p13.11</t>
  </si>
  <si>
    <t>ENST00000399336.8; NM_001004067.3; ENST00000263012.10</t>
  </si>
  <si>
    <t>c.1808A&gt;T</t>
  </si>
  <si>
    <t>HYDIN</t>
  </si>
  <si>
    <t>p.G5011R</t>
  </si>
  <si>
    <t>ENST00000393567.6; NM_001270974.2</t>
  </si>
  <si>
    <t>c.15031G&gt;A</t>
  </si>
  <si>
    <t>ATAD5</t>
  </si>
  <si>
    <t>p.T253P</t>
  </si>
  <si>
    <t>NM_024857.4; ENST00000321990.4; ENST00000580873.1</t>
  </si>
  <si>
    <t>c.757A&gt;C; n.334-209T&gt;G</t>
  </si>
  <si>
    <t>ENDOV</t>
  </si>
  <si>
    <t>p.S93W; p.S10W</t>
  </si>
  <si>
    <t>NR_148044.1; NM_001164638.1; NM_001352760.1; ENST00000518907.5; NR_148043.1; ENST00000517295.6; NM_173627.4; NM_001164637.2; NM_001352761.1; NR_148042.1; ENST00000520367.5; ENST00000518644.5; ENST00000518137.5; ENST00000323854.9; NR_148041.1; NR_148045.1; ENST00000517795.5; ENST00000522751.5; ENST00000518901.5; ENST00000520284.5</t>
  </si>
  <si>
    <t>c.278C&gt;G; n.257-1643C&gt;G; n.656-1643C&gt;G; c.229-329C&gt;G; n.169-1643C&gt;G; n.656-329C&gt;G; c.-179-1643C&gt;G; c.29C&gt;G; c.-219-329C&gt;G; n.249-1643C&gt;G</t>
  </si>
  <si>
    <t>p11.22</t>
  </si>
  <si>
    <t>LIPG</t>
  </si>
  <si>
    <t>q21.1</t>
  </si>
  <si>
    <t>ENST00000427224.6; NM_001308006.1; ENST00000261292.8; NM_006033.3</t>
  </si>
  <si>
    <t>c.1481+1G&gt;A; c.1259+1G&gt;A</t>
  </si>
  <si>
    <t>PALM</t>
  </si>
  <si>
    <t>p.E29*</t>
  </si>
  <si>
    <t>NM_001040134.1; NM_002579.2; ENST00000338448.9; ENST00000264560.11</t>
  </si>
  <si>
    <t>c.85G&gt;T</t>
  </si>
  <si>
    <t>ABCA7</t>
  </si>
  <si>
    <t>p.D250N; p.D388N</t>
  </si>
  <si>
    <t>0.008</t>
  </si>
  <si>
    <t>NM_019112.3; ENST00000435683.6; ENST00000263094.10; ENST00000433129.5</t>
  </si>
  <si>
    <t>c.748G&gt;A; c.1162G&gt;A</t>
  </si>
  <si>
    <t>CAPS</t>
  </si>
  <si>
    <t>p.M1I</t>
  </si>
  <si>
    <t>start loss</t>
  </si>
  <si>
    <t>ENST00000588776.6; NM_004058.4; ENST00000588891.1; ENST00000452990.7; NM_080590.3; ENST00000591109.1</t>
  </si>
  <si>
    <t>n.-177C&gt;T; c.3G&gt;A; c.192-145G&gt;A</t>
  </si>
  <si>
    <t>p.G10463R</t>
  </si>
  <si>
    <t>NM_024690.2; ENST00000397910.8</t>
  </si>
  <si>
    <t>c.31387G&gt;A</t>
  </si>
  <si>
    <t>ZNF878</t>
  </si>
  <si>
    <t>p.K258Q</t>
  </si>
  <si>
    <t>ENST00000547628.1; ENST00000591838.5; ENST00000591898.1; ENST00000547473.1; NR_134929.1; ENST00000476474.5; NR_134928.1; NM_001080404.2</t>
  </si>
  <si>
    <t>n.414-1453T&gt;G; c.772A&gt;C; c.191+1739A&gt;C; n.427-1453T&gt;G; n.163-1453T&gt;G; n.237-1453T&gt;G; n.476-1453T&gt;G</t>
  </si>
  <si>
    <t>Promoter; Exonic</t>
  </si>
  <si>
    <t>C19orf53</t>
  </si>
  <si>
    <t>p.G28D</t>
  </si>
  <si>
    <t>ENST00000586894.1; ENST00000593274.1; NM_014047.2; ENST00000591826.1; ENST00000588234.5</t>
  </si>
  <si>
    <t>c.83G&gt;A; n.-442C&gt;T; n.-927C&gt;T; c.-320G&gt;A</t>
  </si>
  <si>
    <t>Promoter; Exonic; 5'UTR</t>
  </si>
  <si>
    <t>CEBPA</t>
  </si>
  <si>
    <t>p.P14R; p.P49R</t>
  </si>
  <si>
    <t>q13.11</t>
  </si>
  <si>
    <t>ENST00000498907.2; NR_026887.2; NM_001285829.1; NM_004364.4; NM_001287424.1; NM_001287435.1; ENST00000592982.2</t>
  </si>
  <si>
    <t>c.146C&gt;G; n.-447G&gt;C; c.-317C&gt;G; c.-2C&gt;G; n.-483G&gt;C; c.41C&gt;G</t>
  </si>
  <si>
    <t>NECTIN2</t>
  </si>
  <si>
    <t>p.F323L</t>
  </si>
  <si>
    <t>q13.32</t>
  </si>
  <si>
    <t>NM_001042724.1; NM_002856.2; ENST00000252485.8; ENST00000252483.9</t>
  </si>
  <si>
    <t>c.967T&gt;C</t>
  </si>
  <si>
    <t>Exonic; Promoter</t>
  </si>
  <si>
    <t>SIGLEC10</t>
  </si>
  <si>
    <t>p.K329N; p.K514N; p.K429N; p.K477N; p.K387N; p.K572N; p.K419N</t>
  </si>
  <si>
    <t>q13.41</t>
  </si>
  <si>
    <t>NM_033130.4; ENST00000532473.1; NM_001171161.1; NM_001171159.1; ENST00000436984.6; NM_001322105.1; ENST00000526996.1; NM_001171156.1; NM_001256795.2; NM_001171157.1; ENST00000353836.9; ENST00000439889.6; ENST00000441969.7; ENST00000339313.9; NM_001171158.1; ENST00000525998.5; ENST00000442846.7</t>
  </si>
  <si>
    <t>c.1716G&gt;T; n.-1907C&gt;A; c.-2208C&gt;A; c.1287G&gt;T; c.1431G&gt;T; c.1542G&gt;T; c.987G&gt;T; n.-481C&gt;A; c.1257G&gt;T; c.1161G&gt;T</t>
  </si>
  <si>
    <t>q13.33</t>
  </si>
  <si>
    <t>CHODL</t>
  </si>
  <si>
    <t>p.P174S; p.P196S; p.P215S</t>
  </si>
  <si>
    <t>NM_001204177.1; ENST00000338326.4; NM_001204178.1; ENST00000400128.5; NM_001204176.1; ENST00000543733.5; ENST00000299295.6; ENST00000400127.5; ENST00000400131.5; NM_001204175.1; NM_024944.2; ENST00000400135.5; NM_001204174.1</t>
  </si>
  <si>
    <t>c.643C&gt;T; c.586C&gt;T; c.520C&gt;T; c.511+2513C&gt;T</t>
  </si>
  <si>
    <t>EIF4ENIF1</t>
  </si>
  <si>
    <t>p.S777Y; p.S951Y; p.S927Y</t>
  </si>
  <si>
    <t>NM_001164502.1; ENST00000330125.9; ENST00000397525.5; ENST00000397523.5; NM_001164501.1; NM_019843.3; ENST00000344710.9</t>
  </si>
  <si>
    <t>c.2330C&gt;A; c.2780C&gt;A; c.2852C&gt;A</t>
  </si>
  <si>
    <t>FAM83B</t>
  </si>
  <si>
    <t>p.G304V</t>
  </si>
  <si>
    <t>NM_001010872.2</t>
  </si>
  <si>
    <t>c.911G&gt;T</t>
  </si>
  <si>
    <t>ODF2</t>
  </si>
  <si>
    <t>q34.11</t>
  </si>
  <si>
    <t>NM_153439.1; NM_153433.1; NM_153432.1; NM_153437.2; NM_153435.1; NM_001242352.1; NM_002540.4; NM_001242354.1; NM_153440.1; NM_001242353.1; NM_153436.1</t>
  </si>
  <si>
    <t>c.1404+1G&gt;T; c.1647+1G&gt;T; c.1779+1G&gt;T; c.1632+1G&gt;T; c.1722+1G&gt;T; c.1839+1G&gt;T; c.1590+1G&gt;T; c.1575+1G&gt;T</t>
  </si>
  <si>
    <t>AUTS2</t>
  </si>
  <si>
    <t>p.L1031fs*21; p.L1055fs*21</t>
  </si>
  <si>
    <t>q11.22</t>
  </si>
  <si>
    <t>NM_001127231.2; NM_015570.3</t>
  </si>
  <si>
    <t>c.3163delC; c.3091delC</t>
  </si>
  <si>
    <t>ARHGAP23</t>
  </si>
  <si>
    <t>p.D688N</t>
  </si>
  <si>
    <t>NM_001199417.1</t>
  </si>
  <si>
    <t>c.2062G&gt;A</t>
  </si>
  <si>
    <t>KIAA0100</t>
  </si>
  <si>
    <t>p.V497F</t>
  </si>
  <si>
    <t>NM_014680.3; NM_001321560.1</t>
  </si>
  <si>
    <t>c.1489G&gt;T</t>
  </si>
  <si>
    <t>GBP4</t>
  </si>
  <si>
    <t>p.G445*</t>
  </si>
  <si>
    <t>NM_052941.4</t>
  </si>
  <si>
    <t>c.1333G&gt;T</t>
  </si>
  <si>
    <t>RNF145</t>
  </si>
  <si>
    <t>p.M153V; p.M183V; p.M170V; p.M181V; p.M167V</t>
  </si>
  <si>
    <t>NM_001199380.1; NM_001199381.1; NM_144726.2; NM_001199382.1; NM_001199383.1</t>
  </si>
  <si>
    <t>c.508A&gt;G; c.541A&gt;G; c.499A&gt;G; c.457A&gt;G; c.547A&gt;G</t>
  </si>
  <si>
    <t>RFPL4A</t>
  </si>
  <si>
    <t>p.V155L</t>
  </si>
  <si>
    <t>q13.42</t>
  </si>
  <si>
    <t>NM_001277397.1</t>
  </si>
  <si>
    <t>c.463G&gt;C</t>
  </si>
  <si>
    <t>PXDN</t>
  </si>
  <si>
    <t>p.A323S</t>
  </si>
  <si>
    <t>p25.3</t>
  </si>
  <si>
    <t>NM_012293.2</t>
  </si>
  <si>
    <t>c.967G&gt;T</t>
  </si>
  <si>
    <t>SP2</t>
  </si>
  <si>
    <t>p.F560L</t>
  </si>
  <si>
    <t>q21.32</t>
  </si>
  <si>
    <t>NM_003110.5</t>
  </si>
  <si>
    <t>c.1680C&gt;A</t>
  </si>
  <si>
    <t>SETSIP</t>
  </si>
  <si>
    <t>p.D72A</t>
  </si>
  <si>
    <t>NM_001287737.1</t>
  </si>
  <si>
    <t>c.215A&gt;C</t>
  </si>
  <si>
    <t>TTLL6</t>
  </si>
  <si>
    <t>p.E176K; p.E483K</t>
  </si>
  <si>
    <t>NM_001130918.1; NM_173623.3</t>
  </si>
  <si>
    <t>c.1447G&gt;A; c.526G&gt;A</t>
  </si>
  <si>
    <t>CFH</t>
  </si>
  <si>
    <t>p.Q1076E</t>
  </si>
  <si>
    <t>NM_000186.3</t>
  </si>
  <si>
    <t>c.3226C&gt;G</t>
  </si>
  <si>
    <t>GLIS3</t>
  </si>
  <si>
    <t>p.P80R; p.P235R</t>
  </si>
  <si>
    <t>p24.2</t>
  </si>
  <si>
    <t>NM_001042413.1; NM_152629.3</t>
  </si>
  <si>
    <t>c.239C&gt;G; c.704C&gt;G</t>
  </si>
  <si>
    <t>PCDH15</t>
  </si>
  <si>
    <t>p.S1841*; p.S1765*; p.S1831*; p.S1794*; p.S1836*; p.S1814*; p.S1834*; p.S1811*</t>
  </si>
  <si>
    <t>NM_001142765.1; NM_033056.3; NM_001142763.1; NM_001142771.1; NM_001142769.1; NM_001142767.1; NM_001142770.1; NM_001142764.1; NM_001142772.1; NM_001142773.1; NM_001142768.1; NM_001142766.1</t>
  </si>
  <si>
    <t>c.5507C&gt;A; c.5432C&gt;A; c.5294C&gt;A; c.4388+2911C&gt;A; c.5441C&gt;A; c.5501C&gt;A; c.5522C&gt;A; c.4373+2911C&gt;A; c.4409+2911C&gt;A; c.5492C&gt;A; c.5381C&gt;A</t>
  </si>
  <si>
    <t>GUCY2C</t>
  </si>
  <si>
    <t>p.S21P</t>
  </si>
  <si>
    <t>NM_004963.3</t>
  </si>
  <si>
    <t>c.61T&gt;C</t>
  </si>
  <si>
    <t>DNAH3</t>
  </si>
  <si>
    <t>p.N634K; p.N694K</t>
  </si>
  <si>
    <t>NM_001347886.1; NM_017539.2</t>
  </si>
  <si>
    <t>c.2082C&gt;A; c.1902C&gt;A</t>
  </si>
  <si>
    <t xml:space="preserve"> Exonic</t>
  </si>
  <si>
    <t>KIAA0754</t>
  </si>
  <si>
    <t>p.F1145S</t>
  </si>
  <si>
    <t>p34.3</t>
  </si>
  <si>
    <t>NM_015038.1; NM_012090.5</t>
  </si>
  <si>
    <t>c.9631-8675T&gt;C; c.3434T&gt;C</t>
  </si>
  <si>
    <t>ADRA2B</t>
  </si>
  <si>
    <t>p.P325H</t>
  </si>
  <si>
    <t>q11.1</t>
  </si>
  <si>
    <t>NM_000682.6</t>
  </si>
  <si>
    <t>c.974C&gt;A</t>
  </si>
  <si>
    <t>VPS45</t>
  </si>
  <si>
    <t>p.Q252K; p.Q339K; p.Q375K; p.Q270K</t>
  </si>
  <si>
    <t>NM_001279355.1; NM_007259.4; NM_001279353.1; NR_103998.1; NM_001279354.1</t>
  </si>
  <si>
    <t>c.808C&gt;A; c.1015C&gt;A; c.754C&gt;A; c.1123C&gt;A</t>
  </si>
  <si>
    <t>HTR2A</t>
  </si>
  <si>
    <t>p.A390D; p.A306D</t>
  </si>
  <si>
    <t>NM_000621.4; NM_001165947.2</t>
  </si>
  <si>
    <t>c.917C&gt;A; c.1169C&gt;A</t>
  </si>
  <si>
    <t>CG</t>
  </si>
  <si>
    <t>SCAP</t>
  </si>
  <si>
    <t>p.R747fs*82; p.R492fs*81</t>
  </si>
  <si>
    <t>NM_012235.3; NM_001320044.1</t>
  </si>
  <si>
    <t>c.2239_2240delCG; c.1474_1475delCG</t>
  </si>
  <si>
    <t>ZFYVE28</t>
  </si>
  <si>
    <t>p.C529F; p.C559F; p.C489F</t>
  </si>
  <si>
    <t>NM_020972.2; NM_001172656.1; NM_001172659.1</t>
  </si>
  <si>
    <t>c.1586G&gt;T; c.1676G&gt;T; c.1466G&gt;T</t>
  </si>
  <si>
    <t>NLRP4</t>
  </si>
  <si>
    <t>p.E54*</t>
  </si>
  <si>
    <t>NM_134444.4</t>
  </si>
  <si>
    <t>c.160G&gt;T</t>
  </si>
  <si>
    <t>AA</t>
  </si>
  <si>
    <t>ENPP3</t>
  </si>
  <si>
    <t>p.N741C</t>
  </si>
  <si>
    <t>NR_133007.1; NM_005021.4</t>
  </si>
  <si>
    <t>c.2221_2222delAAinsTG</t>
  </si>
  <si>
    <t>ANK2</t>
  </si>
  <si>
    <t>p.A2042D</t>
  </si>
  <si>
    <t>q26</t>
  </si>
  <si>
    <t>NM_001127493.1; NM_001148.4; NM_020977.3</t>
  </si>
  <si>
    <t>c.4399+4494C&gt;A; c.6125C&gt;A; c.4426+4494C&gt;A</t>
  </si>
  <si>
    <t>PSD3</t>
  </si>
  <si>
    <t>p.R63I; p.R597I</t>
  </si>
  <si>
    <t>p22</t>
  </si>
  <si>
    <t>NM_206909.2; NM_015310.3</t>
  </si>
  <si>
    <t>c.188G&gt;T; c.1790G&gt;T</t>
  </si>
  <si>
    <t>PHLDB3</t>
  </si>
  <si>
    <t>p.Q178K</t>
  </si>
  <si>
    <t>NM_198850.3</t>
  </si>
  <si>
    <t>c.532C&gt;A</t>
  </si>
  <si>
    <t>GRIK4</t>
  </si>
  <si>
    <t>p.A913G</t>
  </si>
  <si>
    <t>NM_014619.4; NM_001282470.2</t>
  </si>
  <si>
    <t>c.2738C&gt;G</t>
  </si>
  <si>
    <t>MAP2K7</t>
  </si>
  <si>
    <t>p.P286R; p.P302R</t>
  </si>
  <si>
    <t>NM_001297556.1; NM_145185.3; NM_001297555.1</t>
  </si>
  <si>
    <t>c.905C&gt;G; c.857C&gt;G</t>
  </si>
  <si>
    <t>MORN1</t>
  </si>
  <si>
    <t>p.E119Q</t>
  </si>
  <si>
    <t>NM_001301060.1; NM_024848.2; NR_125361.1</t>
  </si>
  <si>
    <t>c.355G&gt;C</t>
  </si>
  <si>
    <t>ARID1A</t>
  </si>
  <si>
    <t>p.G388R</t>
  </si>
  <si>
    <t>p36.11</t>
  </si>
  <si>
    <t>NM_006015.4; NM_139135.2</t>
  </si>
  <si>
    <t>c.1162G&gt;C</t>
  </si>
  <si>
    <t>ORC1</t>
  </si>
  <si>
    <t>p.S832R; p.S837R</t>
  </si>
  <si>
    <t>p32.3</t>
  </si>
  <si>
    <t>NM_001190819.1; NM_001190818.1; NM_004153.3</t>
  </si>
  <si>
    <t>c.2496C&gt;A; c.2511C&gt;A</t>
  </si>
  <si>
    <t>VCAM1</t>
  </si>
  <si>
    <t>p.D329Y; p.D267Y</t>
  </si>
  <si>
    <t>NM_001199834.1; NM_080682.2; NM_001078.3</t>
  </si>
  <si>
    <t>c.929-2035G&gt;T; c.799G&gt;T; c.985G&gt;T</t>
  </si>
  <si>
    <t>IQGAP3</t>
  </si>
  <si>
    <t>p.A423E</t>
  </si>
  <si>
    <t>NM_178229.4</t>
  </si>
  <si>
    <t>c.1268C&gt;A</t>
  </si>
  <si>
    <t>NTSR2</t>
  </si>
  <si>
    <t>p.L221Q</t>
  </si>
  <si>
    <t>p25.1</t>
  </si>
  <si>
    <t>NM_012344.3</t>
  </si>
  <si>
    <t>c.662T&gt;A</t>
  </si>
  <si>
    <t>RAD51AP2</t>
  </si>
  <si>
    <t>p.I681N; p.I672N</t>
  </si>
  <si>
    <t>NM_001099218.2; NM_001321233.1</t>
  </si>
  <si>
    <t>c.2042T&gt;A; c.2015T&gt;A</t>
  </si>
  <si>
    <t>HS6ST1</t>
  </si>
  <si>
    <t>p.G162C</t>
  </si>
  <si>
    <t>NM_004807.2</t>
  </si>
  <si>
    <t>c.484G&gt;T</t>
  </si>
  <si>
    <t>SCN9A</t>
  </si>
  <si>
    <t>NM_002977.3</t>
  </si>
  <si>
    <t>c.467+2T&gt;A</t>
  </si>
  <si>
    <t>CYBRD1</t>
  </si>
  <si>
    <t>p.F139I; p.F69Y; p.F81I</t>
  </si>
  <si>
    <t>q31.1</t>
  </si>
  <si>
    <t>NM_001256909.1; NM_024843.3; NM_001127383.1</t>
  </si>
  <si>
    <t>c.415T&gt;A; c.206T&gt;A; c.241T&gt;A</t>
  </si>
  <si>
    <t>GORASP1</t>
  </si>
  <si>
    <t>p.E414V; p.E319V; p.E259V</t>
  </si>
  <si>
    <t>NR_103866.1; NR_103867.1; NM_031899.3; NM_001278789.1; NM_001278790.1</t>
  </si>
  <si>
    <t>c.1241A&gt;T; c.776A&gt;T; c.956A&gt;T</t>
  </si>
  <si>
    <t>MYRIP</t>
  </si>
  <si>
    <t>p.G261E; p.G172E; p.G74E</t>
  </si>
  <si>
    <t>NM_001284423.1; NR_104316.1; NM_001284425.1; NM_001284424.1; NM_015460.3; NM_001284426.1</t>
  </si>
  <si>
    <t>c.221G&gt;A; c.515G&gt;A; c.782G&gt;A</t>
  </si>
  <si>
    <t>p.P480T</t>
  </si>
  <si>
    <t>c.1438C&gt;A</t>
  </si>
  <si>
    <t>TSC22D2</t>
  </si>
  <si>
    <t>p.E435D</t>
  </si>
  <si>
    <t>NM_001303264.1; NM_014779.3; NR_130136.1</t>
  </si>
  <si>
    <t>c.1305A&gt;T</t>
  </si>
  <si>
    <t>TMPRSS11E</t>
  </si>
  <si>
    <t>p.L96*</t>
  </si>
  <si>
    <t>NM_014058.3</t>
  </si>
  <si>
    <t>c.287T&gt;A</t>
  </si>
  <si>
    <t>CDH18</t>
  </si>
  <si>
    <t>p.K66E; p.K289E</t>
  </si>
  <si>
    <t>p14.3</t>
  </si>
  <si>
    <t>NM_001349559.1; NM_001167667.2; NM_001349561.1; NM_004934.4; NM_001291956.2; NM_001349558.1; NM_001349562.1; NM_001291957.2; NM_001349560.1; NM_001349556.1; NM_001349563.1</t>
  </si>
  <si>
    <t>c.196A&gt;G; c.865A&gt;G</t>
  </si>
  <si>
    <t>VCAN</t>
  </si>
  <si>
    <t>p.A1406T; p.A2173T; p.A3160T; p.A419T</t>
  </si>
  <si>
    <t>NM_001126336.2; NM_001164097.1; NM_004385.4; NM_001164098.1</t>
  </si>
  <si>
    <t>c.6517G&gt;A; c.1255G&gt;A; c.4216G&gt;A; c.9478G&gt;A</t>
  </si>
  <si>
    <t>ADGRV1</t>
  </si>
  <si>
    <t>p.P934T</t>
  </si>
  <si>
    <t>NR_003149.1; NM_032119.3</t>
  </si>
  <si>
    <t>c.2800C&gt;A</t>
  </si>
  <si>
    <t>TXNDC5</t>
  </si>
  <si>
    <t>p.A224G; p.A116G</t>
  </si>
  <si>
    <t>p24.3</t>
  </si>
  <si>
    <t>NM_030810.4; NR_037616.1; NM_001145549.3</t>
  </si>
  <si>
    <t>c.671C&gt;G; c.347C&gt;G</t>
  </si>
  <si>
    <t>RHAG</t>
  </si>
  <si>
    <t>p.A184D</t>
  </si>
  <si>
    <t>NM_000324.2</t>
  </si>
  <si>
    <t>c.551C&gt;A</t>
  </si>
  <si>
    <t>IGF2R</t>
  </si>
  <si>
    <t>p.S1158I</t>
  </si>
  <si>
    <t>NM_000876.3</t>
  </si>
  <si>
    <t>c.3473G&gt;T</t>
  </si>
  <si>
    <t>DNAH11</t>
  </si>
  <si>
    <t>p.T308K</t>
  </si>
  <si>
    <t>5638294; 5638293</t>
  </si>
  <si>
    <t>NM_001277115.1</t>
  </si>
  <si>
    <t>c.923C&gt;A</t>
  </si>
  <si>
    <t>BAZ1B</t>
  </si>
  <si>
    <t>p.E889D</t>
  </si>
  <si>
    <t>NM_032408.3</t>
  </si>
  <si>
    <t>c.2667A&gt;T</t>
  </si>
  <si>
    <t>DGKI</t>
  </si>
  <si>
    <t>NM_001321710.1; NM_004717.3; NM_001321709.1; NM_001321708.1</t>
  </si>
  <si>
    <t>c.2761+2T&gt;A; c.1861+2T&gt;A; c.1792+2T&gt;A; c.2785+2T&gt;A</t>
  </si>
  <si>
    <t>p.A245P; p.A240P</t>
  </si>
  <si>
    <t>c.733G&gt;C; c.718G&gt;C</t>
  </si>
  <si>
    <t>E2F8</t>
  </si>
  <si>
    <t>p.L266S</t>
  </si>
  <si>
    <t>p15.1</t>
  </si>
  <si>
    <t>NM_024680.3; NM_001256371.1; NM_001256372.1</t>
  </si>
  <si>
    <t>c.797T&gt;C</t>
  </si>
  <si>
    <t>INTS5</t>
  </si>
  <si>
    <t>p.E124K</t>
  </si>
  <si>
    <t>NM_030628.1</t>
  </si>
  <si>
    <t>c.370G&gt;A</t>
  </si>
  <si>
    <t>TP53BP1</t>
  </si>
  <si>
    <t>p.A1853V; p.A1855V; p.A1850V</t>
  </si>
  <si>
    <t>q15.3</t>
  </si>
  <si>
    <t>NM_001141980.1; NM_005657.2; NM_001141979.1</t>
  </si>
  <si>
    <t>c.5564C&gt;T; c.5549C&gt;T; c.5558C&gt;T</t>
  </si>
  <si>
    <t>MRPS34</t>
  </si>
  <si>
    <t>p.D110V</t>
  </si>
  <si>
    <t>NM_001300900.1; NM_002513.2; NM_023936.1; NM_001257370.1</t>
  </si>
  <si>
    <t>c.329A&gt;T; c.-589T&gt;A; c.-1105A&gt;T</t>
  </si>
  <si>
    <t>TMEM102</t>
  </si>
  <si>
    <t>p.D100G</t>
  </si>
  <si>
    <t>NM_178518.2; NR_130156.1; NM_001320444.1</t>
  </si>
  <si>
    <t>c.299A&gt;G; unknown</t>
  </si>
  <si>
    <t>p.G156V</t>
  </si>
  <si>
    <t>c.467G&gt;T</t>
  </si>
  <si>
    <t>PROCA1</t>
  </si>
  <si>
    <t>p.S271I; p.S262I; p.S273I; p.S199I; p.S155I</t>
  </si>
  <si>
    <t>NM_001304951.1; NM_001304952.1; NM_001304949.1; NM_001304954.1; NM_001304953.1; NM_152465.2</t>
  </si>
  <si>
    <t>c.812G&gt;T; c.596G&gt;T; c.464G&gt;T; c.818G&gt;T; c.785G&gt;T</t>
  </si>
  <si>
    <t>CCT6B</t>
  </si>
  <si>
    <t>p.N37H</t>
  </si>
  <si>
    <t>NM_006584.3; NM_001193529.2; NM_052857.3; NM_001193530.1</t>
  </si>
  <si>
    <t>c.109A&gt;C; c.-282T&gt;G</t>
  </si>
  <si>
    <t>BRCA1</t>
  </si>
  <si>
    <t>p.N1045D; p.N998D</t>
  </si>
  <si>
    <t>NM_007294.3; NM_007299.3; NR_027676.1; NM_007298.3; NM_007297.3; NM_007300.3</t>
  </si>
  <si>
    <t>c.2992A&gt;G; c.788-1366A&gt;G; c.3133A&gt;G</t>
  </si>
  <si>
    <t>CTGAGAGCTTGCTCCAG</t>
  </si>
  <si>
    <t>NBR1</t>
  </si>
  <si>
    <t>p.P348fs*2; p.P327fs*2</t>
  </si>
  <si>
    <t>NM_031862.3; NM_005899.4; NM_001291572.1; NM_001291571.1</t>
  </si>
  <si>
    <t>c.1043_1059delCTGAGAGCTTGCTCCAG; c.980_996delCTGAGAGCTTGCTCCAG</t>
  </si>
  <si>
    <t>GFAP</t>
  </si>
  <si>
    <t>p.A322D</t>
  </si>
  <si>
    <t>NM_001131019.2; NM_001242376.1; NM_002055.4</t>
  </si>
  <si>
    <t>c.965C&gt;A</t>
  </si>
  <si>
    <t>FTSJ3</t>
  </si>
  <si>
    <t>p.R846Q</t>
  </si>
  <si>
    <t>NM_017647.3</t>
  </si>
  <si>
    <t>c.2537G&gt;A</t>
  </si>
  <si>
    <t>CCDC57</t>
  </si>
  <si>
    <t>p.L263F</t>
  </si>
  <si>
    <t>NM_198082.2; NM_001316321.1</t>
  </si>
  <si>
    <t>c.789A&gt;T</t>
  </si>
  <si>
    <t>ZNF519</t>
  </si>
  <si>
    <t>p.N156S</t>
  </si>
  <si>
    <t>NM_145287.3</t>
  </si>
  <si>
    <t>c.467A&gt;G</t>
  </si>
  <si>
    <t>PSG2</t>
  </si>
  <si>
    <t>p.H12N</t>
  </si>
  <si>
    <t>NM_031246.3</t>
  </si>
  <si>
    <t>c.34C&gt;A</t>
  </si>
  <si>
    <t>ZNF229</t>
  </si>
  <si>
    <t>p.D38Y</t>
  </si>
  <si>
    <t>NM_014518.3; NM_001278510.2; NR_103551.2</t>
  </si>
  <si>
    <t>c.112G&gt;T</t>
  </si>
  <si>
    <t>PRR12</t>
  </si>
  <si>
    <t>p.G1678W</t>
  </si>
  <si>
    <t>NM_020719.2</t>
  </si>
  <si>
    <t>c.5032G&gt;T</t>
  </si>
  <si>
    <t>DZANK1</t>
  </si>
  <si>
    <t>p.D739H</t>
  </si>
  <si>
    <t>NM_001099407.1</t>
  </si>
  <si>
    <t>c.2215G&gt;C</t>
  </si>
  <si>
    <t>PFKL</t>
  </si>
  <si>
    <t>p.S255fs*3; p.S305fs*3</t>
  </si>
  <si>
    <t>NM_001002021.2; NM_002626.5</t>
  </si>
  <si>
    <t>c.762delG; c.912delG</t>
  </si>
  <si>
    <t>FTCD</t>
  </si>
  <si>
    <t>p.K318M</t>
  </si>
  <si>
    <t>NM_206965.1; NM_006657.2; NM_001320412.1</t>
  </si>
  <si>
    <t>c.953A&gt;T</t>
  </si>
  <si>
    <t>CCDC160</t>
  </si>
  <si>
    <t>p.E284V</t>
  </si>
  <si>
    <t>q26.2</t>
  </si>
  <si>
    <t>NM_001101357.1</t>
  </si>
  <si>
    <t>c.851A&gt;T</t>
  </si>
  <si>
    <t>CLCNKA</t>
  </si>
  <si>
    <t>p.A287V; p.A244V</t>
  </si>
  <si>
    <t>p36.13</t>
  </si>
  <si>
    <t>NM_001042704.1; NM_001257139.1; NM_004070.3</t>
  </si>
  <si>
    <t>c.860C&gt;T; c.731C&gt;T</t>
  </si>
  <si>
    <t>NOTCH2</t>
  </si>
  <si>
    <t>p.G1339R</t>
  </si>
  <si>
    <t>NM_024408.3</t>
  </si>
  <si>
    <t>c.4015G&gt;C</t>
  </si>
  <si>
    <t>FAM180A</t>
  </si>
  <si>
    <t>p.L65I</t>
  </si>
  <si>
    <t>NM_205855.3</t>
  </si>
  <si>
    <t>c.193C&gt;A</t>
  </si>
  <si>
    <t>SLC38A4</t>
  </si>
  <si>
    <t>p.V502F</t>
  </si>
  <si>
    <t>NM_018018.4; NM_001143824.1</t>
  </si>
  <si>
    <t>c.1504G&gt;T</t>
  </si>
  <si>
    <t>ANKRD40</t>
  </si>
  <si>
    <t>p.R177W</t>
  </si>
  <si>
    <t>q21.33</t>
  </si>
  <si>
    <t>NM_052855.3</t>
  </si>
  <si>
    <t>c.529C&gt;T</t>
  </si>
  <si>
    <t>TCHP</t>
  </si>
  <si>
    <t>p.Q222K</t>
  </si>
  <si>
    <t>q24.11</t>
  </si>
  <si>
    <t>NM_032300.4; NM_001143852.1</t>
  </si>
  <si>
    <t>c.664C&gt;A</t>
  </si>
  <si>
    <t>DNAAF2</t>
  </si>
  <si>
    <t>p.R609I</t>
  </si>
  <si>
    <t>NM_001083908.1; NM_018139.2</t>
  </si>
  <si>
    <t>c.1826G&gt;T</t>
  </si>
  <si>
    <t>FOXK2</t>
  </si>
  <si>
    <t>p.A25S</t>
  </si>
  <si>
    <t>NM_004514.3</t>
  </si>
  <si>
    <t>c.73G&gt;T</t>
  </si>
  <si>
    <t>GG</t>
  </si>
  <si>
    <t>CCGCC</t>
  </si>
  <si>
    <t>p.G26delinsPP</t>
  </si>
  <si>
    <t>c.76_77delGGinsCCGCC</t>
  </si>
  <si>
    <t>CCDC74B</t>
  </si>
  <si>
    <t>p.P135S; p.P201S</t>
  </si>
  <si>
    <t>NM_001258307.1; NM_207310.2</t>
  </si>
  <si>
    <t>c.601C&gt;T; c.403C&gt;T</t>
  </si>
  <si>
    <t>C2orf27A</t>
  </si>
  <si>
    <t>p.P186S</t>
  </si>
  <si>
    <t>NM_013310.3</t>
  </si>
  <si>
    <t>c.556C&gt;T</t>
  </si>
  <si>
    <t>MED12L</t>
  </si>
  <si>
    <t>p.Q1307K</t>
  </si>
  <si>
    <t>NM_022788.4; NM_053002.5</t>
  </si>
  <si>
    <t>c.3919C&gt;A; c.-180+8507G&gt;T</t>
  </si>
  <si>
    <t>CDHR2</t>
  </si>
  <si>
    <t>p.L842M</t>
  </si>
  <si>
    <t>NM_001171976.1; NM_017675.4</t>
  </si>
  <si>
    <t>c.2524C&gt;A</t>
  </si>
  <si>
    <t>SAMD9</t>
  </si>
  <si>
    <t>p.L70I</t>
  </si>
  <si>
    <t>NM_001193307.1; NM_017654.3</t>
  </si>
  <si>
    <t>c.208C&gt;A</t>
  </si>
  <si>
    <t>DPYS</t>
  </si>
  <si>
    <t>p.P222R</t>
  </si>
  <si>
    <t>NM_001385.2</t>
  </si>
  <si>
    <t>c.665C&gt;G</t>
  </si>
  <si>
    <t>OR56A1</t>
  </si>
  <si>
    <t>p.A164S</t>
  </si>
  <si>
    <t>p15.4</t>
  </si>
  <si>
    <t>NM_001001917.2</t>
  </si>
  <si>
    <t>c.490G&gt;T</t>
  </si>
  <si>
    <t>MAP3K14</t>
  </si>
  <si>
    <t>p.V568M</t>
  </si>
  <si>
    <t>NM_003954.4</t>
  </si>
  <si>
    <t>c.1702G&gt;A</t>
  </si>
  <si>
    <t>CXorf40A/CXorf40B</t>
  </si>
  <si>
    <t>p.C53W</t>
  </si>
  <si>
    <t>4600243; 4600244</t>
  </si>
  <si>
    <t>q28</t>
  </si>
  <si>
    <t>NM_001013845.1</t>
  </si>
  <si>
    <t>c.159T&gt;G</t>
  </si>
  <si>
    <t>SAMD11</t>
  </si>
  <si>
    <t>p.G650W</t>
  </si>
  <si>
    <t>NM_152486.2</t>
  </si>
  <si>
    <t>c.1948G&gt;T</t>
  </si>
  <si>
    <t>CD1C</t>
  </si>
  <si>
    <t>p.S35*</t>
  </si>
  <si>
    <t>NM_001765.2</t>
  </si>
  <si>
    <t>c.104C&gt;A</t>
  </si>
  <si>
    <t>RGS8</t>
  </si>
  <si>
    <t>p.*181Y; p.*199Y</t>
  </si>
  <si>
    <t>stop loss</t>
  </si>
  <si>
    <t>NM_033345.3; NM_001102450.2</t>
  </si>
  <si>
    <t>c.543G&gt;T; c.597G&gt;T</t>
  </si>
  <si>
    <t>ARHGEF38</t>
  </si>
  <si>
    <t>p.Q62K</t>
  </si>
  <si>
    <t>q24</t>
  </si>
  <si>
    <t>NM_017700.1; NM_001242729.1</t>
  </si>
  <si>
    <t>c.184C&gt;A</t>
  </si>
  <si>
    <t>p.N40S</t>
  </si>
  <si>
    <t>NM_005245.3</t>
  </si>
  <si>
    <t>c.119A&gt;G</t>
  </si>
  <si>
    <t>MUC17</t>
  </si>
  <si>
    <t>p.P375H</t>
  </si>
  <si>
    <t>NR_133665.1; NM_001040105.1</t>
  </si>
  <si>
    <t>c.1124C&gt;A</t>
  </si>
  <si>
    <t>KIAA1549</t>
  </si>
  <si>
    <t>q34</t>
  </si>
  <si>
    <t>NM_020910.2; NM_001164665.1</t>
  </si>
  <si>
    <t>c.2968-2delA</t>
  </si>
  <si>
    <t>SOX7</t>
  </si>
  <si>
    <t>p.R102C</t>
  </si>
  <si>
    <t>p23.1</t>
  </si>
  <si>
    <t>NM_031439.3</t>
  </si>
  <si>
    <t>c.304C&gt;T</t>
  </si>
  <si>
    <t>CNOT7</t>
  </si>
  <si>
    <t>p.L58I; p.L161I; p.L139I</t>
  </si>
  <si>
    <t>NM_001322088.1; NM_001322090.1; NM_001322099.1; NM_013354.6; NM_001322094.1; NM_054026.3; NM_001322089.1; NM_001322091.1; NM_001322095.1; NM_001322092.1; NM_001322100.1; NM_001322096.1; NM_001322087.1; NM_001322093.1; NM_001322098.1; NM_001322097.1</t>
  </si>
  <si>
    <t>c.415C&gt;A; c.172C&gt;A; c.481C&gt;A</t>
  </si>
  <si>
    <t>RP1</t>
  </si>
  <si>
    <t>p.T1618A</t>
  </si>
  <si>
    <t>NM_006269.1</t>
  </si>
  <si>
    <t>c.4852A&gt;G</t>
  </si>
  <si>
    <t>FER1L6</t>
  </si>
  <si>
    <t>p.H1352N</t>
  </si>
  <si>
    <t>q24.13</t>
  </si>
  <si>
    <t>NM_001039112.2</t>
  </si>
  <si>
    <t>c.4054C&gt;A</t>
  </si>
  <si>
    <t>GRIN3A</t>
  </si>
  <si>
    <t>p.G618D</t>
  </si>
  <si>
    <t>NM_133445.2</t>
  </si>
  <si>
    <t>c.1853G&gt;A</t>
  </si>
  <si>
    <t>GLT6D1</t>
  </si>
  <si>
    <t>p.G257R</t>
  </si>
  <si>
    <t>q34.3</t>
  </si>
  <si>
    <t>NM_182974.2</t>
  </si>
  <si>
    <t>c.769G&gt;A</t>
  </si>
  <si>
    <t>SORL1</t>
  </si>
  <si>
    <t>p.R724I</t>
  </si>
  <si>
    <t>NM_003105.5</t>
  </si>
  <si>
    <t>c.2171G&gt;T</t>
  </si>
  <si>
    <t>FOXN4</t>
  </si>
  <si>
    <t>p.Q357fs*49</t>
  </si>
  <si>
    <t>NM_213596.2</t>
  </si>
  <si>
    <t>c.1068delG</t>
  </si>
  <si>
    <t>MVK</t>
  </si>
  <si>
    <t>p.A282T; p.A334T</t>
  </si>
  <si>
    <t>NM_001114185.2; NM_001301182.1; NM_000431.3</t>
  </si>
  <si>
    <t>c.844G&gt;A; c.1000G&gt;A</t>
  </si>
  <si>
    <t>AHNAK2</t>
  </si>
  <si>
    <t>p.P444S</t>
  </si>
  <si>
    <t>q32.33</t>
  </si>
  <si>
    <t>NM_138420.2</t>
  </si>
  <si>
    <t>c.1330C&gt;T</t>
  </si>
  <si>
    <t>JAG2</t>
  </si>
  <si>
    <t>p.G821C; p.G859C</t>
  </si>
  <si>
    <t>NM_145159.2; NM_002226.4</t>
  </si>
  <si>
    <t>c.2575G&gt;T; c.2461G&gt;T</t>
  </si>
  <si>
    <t>CCATCTCCAG</t>
  </si>
  <si>
    <t>SPATA5L1</t>
  </si>
  <si>
    <t>p.P386fs*11</t>
  </si>
  <si>
    <t>NR_136645.1; NR_136647.1; NR_027635.1; NM_001323640.1; NR_136646.1; NM_024063.2; NR_136648.1</t>
  </si>
  <si>
    <t>c.1157_1166delCCATCTCCAG</t>
  </si>
  <si>
    <t>USP6</t>
  </si>
  <si>
    <t>p.H191N</t>
  </si>
  <si>
    <t>NM_001304284.1; NM_004505.3</t>
  </si>
  <si>
    <t>c.571C&gt;A</t>
  </si>
  <si>
    <t>CASKIN2</t>
  </si>
  <si>
    <t>p.C60Y; p.C142Y</t>
  </si>
  <si>
    <t>NM_020753.4; NM_001142643.2</t>
  </si>
  <si>
    <t>c.179G&gt;A; c.425G&gt;A</t>
  </si>
  <si>
    <t>S1PR5</t>
  </si>
  <si>
    <t>p.P10T</t>
  </si>
  <si>
    <t>NM_001166215.1; NM_030760.4</t>
  </si>
  <si>
    <t>c.28C&gt;A</t>
  </si>
  <si>
    <t>UPF1</t>
  </si>
  <si>
    <t>p.G61D</t>
  </si>
  <si>
    <t>NM_002911.3; NM_001297549.1</t>
  </si>
  <si>
    <t>c.182G&gt;A</t>
  </si>
  <si>
    <t>PSG5</t>
  </si>
  <si>
    <t>p.A22E</t>
  </si>
  <si>
    <t>NM_001130014.1; NM_002781.3</t>
  </si>
  <si>
    <t>c.65C&gt;A</t>
  </si>
  <si>
    <t>ERCC2</t>
  </si>
  <si>
    <t>p.K101M; p.K77M</t>
  </si>
  <si>
    <t>NM_001130867.1; NM_000400.3</t>
  </si>
  <si>
    <t>c.230A&gt;T; c.302A&gt;T</t>
  </si>
  <si>
    <t>p.K964N</t>
  </si>
  <si>
    <t>c.2892G&gt;T</t>
  </si>
  <si>
    <t>INTS6L</t>
  </si>
  <si>
    <t>p.Y557C</t>
  </si>
  <si>
    <t>q26.3</t>
  </si>
  <si>
    <t>NM_182540.4</t>
  </si>
  <si>
    <t>c.1670A&gt;G</t>
  </si>
  <si>
    <t>NDUFAF7</t>
  </si>
  <si>
    <t>NM_001083946.1; NM_144736.4</t>
  </si>
  <si>
    <t>c.408+2T&gt;C; c.327+2T&gt;C</t>
  </si>
  <si>
    <t>MUC7</t>
  </si>
  <si>
    <t>p.Q332H</t>
  </si>
  <si>
    <t>NM_152291.2; NM_001145006.1; NM_001145007.1</t>
  </si>
  <si>
    <t>c.996G&gt;C</t>
  </si>
  <si>
    <t>ZNF879</t>
  </si>
  <si>
    <t>p.G462V</t>
  </si>
  <si>
    <t>q35.3</t>
  </si>
  <si>
    <t>NM_001136116.1</t>
  </si>
  <si>
    <t>c.1385G&gt;T</t>
  </si>
  <si>
    <t>TNF</t>
  </si>
  <si>
    <t>p.A221D</t>
  </si>
  <si>
    <t>p21.33</t>
  </si>
  <si>
    <t>NM_000594.3</t>
  </si>
  <si>
    <t>c.662C&gt;A</t>
  </si>
  <si>
    <t>MGAM</t>
  </si>
  <si>
    <t>p.E513*</t>
  </si>
  <si>
    <t>231135; 231136</t>
  </si>
  <si>
    <t>NM_004668.2</t>
  </si>
  <si>
    <t>c.1537G&gt;T</t>
  </si>
  <si>
    <t>SGK3</t>
  </si>
  <si>
    <t>p.A92E</t>
  </si>
  <si>
    <t>NM_013257.4; NM_001033578.2; NM_001204173.1; NM_170709.2</t>
  </si>
  <si>
    <t>c.275C&gt;A</t>
  </si>
  <si>
    <t>ACIN1</t>
  </si>
  <si>
    <t>p.E142*</t>
  </si>
  <si>
    <t>NM_014977.3; NM_001164814.1; NM_001164815.1</t>
  </si>
  <si>
    <t>c.424G&gt;T</t>
  </si>
  <si>
    <t>KTN1</t>
  </si>
  <si>
    <t>p.A1235D; p.A1258D; p.A1286D; p.A1229D</t>
  </si>
  <si>
    <t>NM_004986.3; NM_001271014.1; NR_073128.1; NR_073129.1; NM_001079522.1; NM_001079521.1</t>
  </si>
  <si>
    <t>c.3704C&gt;A; c.3857C&gt;A; c.3686C&gt;A; c.3773C&gt;A</t>
  </si>
  <si>
    <t>RTN1</t>
  </si>
  <si>
    <t>p.A744E; p.A176E</t>
  </si>
  <si>
    <t>4861657; 698233</t>
  </si>
  <si>
    <t>NM_206852.2; NM_021136.2</t>
  </si>
  <si>
    <t>c.2231C&gt;A; c.527C&gt;A</t>
  </si>
  <si>
    <t>SIN3A</t>
  </si>
  <si>
    <t>p.L508V</t>
  </si>
  <si>
    <t>NM_001145357.1; NM_015477.2; NM_001145358.1</t>
  </si>
  <si>
    <t>c.1522C&gt;G</t>
  </si>
  <si>
    <t>PIGQ</t>
  </si>
  <si>
    <t>p.W639*</t>
  </si>
  <si>
    <t>NM_004204.3; NM_148920.2</t>
  </si>
  <si>
    <t>c.*233G&gt;A; c.1917G&gt;A</t>
  </si>
  <si>
    <t>PKD1</t>
  </si>
  <si>
    <t>p.F3056L</t>
  </si>
  <si>
    <t>NM_000296.3; NM_001009944.2</t>
  </si>
  <si>
    <t>c.9166T&gt;C</t>
  </si>
  <si>
    <t>CLDN6</t>
  </si>
  <si>
    <t>p.Y165C</t>
  </si>
  <si>
    <t>NM_021195.4</t>
  </si>
  <si>
    <t>c.494A&gt;G</t>
  </si>
  <si>
    <t>MYH2</t>
  </si>
  <si>
    <t>p.D515N</t>
  </si>
  <si>
    <t>NM_001100112.1; NM_017534.5</t>
  </si>
  <si>
    <t>c.1543G&gt;A</t>
  </si>
  <si>
    <t>p.L318I; p.L310I; p.L355I</t>
  </si>
  <si>
    <t>NM_006584.3; NM_001193529.2; NM_001193530.1</t>
  </si>
  <si>
    <t>c.1063T&gt;A; c.928T&gt;A; c.952T&gt;A</t>
  </si>
  <si>
    <t>GPR142</t>
  </si>
  <si>
    <t>p.R168C; p.R256C</t>
  </si>
  <si>
    <t>NM_001331076.1; NM_001331077.1; NM_181790.1</t>
  </si>
  <si>
    <t>c.766C&gt;T; c.502C&gt;T</t>
  </si>
  <si>
    <t>INSR</t>
  </si>
  <si>
    <t>p.A1233S; p.A1221S</t>
  </si>
  <si>
    <t>NM_000208.3; NM_001079817.2</t>
  </si>
  <si>
    <t>c.3661G&gt;T; c.3697G&gt;T</t>
  </si>
  <si>
    <t>AKAP8</t>
  </si>
  <si>
    <t>p.E33K</t>
  </si>
  <si>
    <t>p13.12</t>
  </si>
  <si>
    <t>NM_005858.3</t>
  </si>
  <si>
    <t>c.97G&gt;A</t>
  </si>
  <si>
    <t>ZNF845</t>
  </si>
  <si>
    <t>p.D471E</t>
  </si>
  <si>
    <t>NM_001321522.1; NM_138374.2; NM_001321524.1; NM_001321523.1</t>
  </si>
  <si>
    <t>c.1413T&gt;A</t>
  </si>
  <si>
    <t>EYA2</t>
  </si>
  <si>
    <t>p.A93S</t>
  </si>
  <si>
    <t>NM_005244.4; NM_172110.3</t>
  </si>
  <si>
    <t>c.277G&gt;T</t>
  </si>
  <si>
    <t>ALAS2</t>
  </si>
  <si>
    <t>p.S474R; p.S487R; p.S450R</t>
  </si>
  <si>
    <t>NM_000032.4; NM_001037967.3; NM_001037968.3</t>
  </si>
  <si>
    <t>c.1350C&gt;A; c.1422C&gt;A; c.1461C&gt;A</t>
  </si>
  <si>
    <t>GRIA3</t>
  </si>
  <si>
    <t>p.N343S</t>
  </si>
  <si>
    <t>q25</t>
  </si>
  <si>
    <t>NM_007325.4; NM_000828.4</t>
  </si>
  <si>
    <t>c.1028A&gt;G</t>
  </si>
  <si>
    <t>PHF6</t>
  </si>
  <si>
    <t>p.Y313C</t>
  </si>
  <si>
    <t>NM_001015877.1; NM_032458.2</t>
  </si>
  <si>
    <t>c.938A&gt;G</t>
  </si>
  <si>
    <t>H3F3A</t>
  </si>
  <si>
    <t>p.A115G</t>
  </si>
  <si>
    <t>q42.12</t>
  </si>
  <si>
    <t>NM_002107.4</t>
  </si>
  <si>
    <t>c.344C&gt;G</t>
  </si>
  <si>
    <t>TTC17</t>
  </si>
  <si>
    <t>p.D154Y</t>
  </si>
  <si>
    <t>NM_001307943.1; NM_018259.5</t>
  </si>
  <si>
    <t>c.460G&gt;T</t>
  </si>
  <si>
    <t>FGF4</t>
  </si>
  <si>
    <t>p.G185A</t>
  </si>
  <si>
    <t>NM_002007.2</t>
  </si>
  <si>
    <t>c.554G&gt;C</t>
  </si>
  <si>
    <t>OPHN1</t>
  </si>
  <si>
    <t>p.D426*</t>
  </si>
  <si>
    <t>NM_002547.2</t>
  </si>
  <si>
    <t>c.1275dupT</t>
  </si>
  <si>
    <t>FSCN1</t>
  </si>
  <si>
    <t>p.E215Q</t>
  </si>
  <si>
    <t>NM_003088.3</t>
  </si>
  <si>
    <t>c.643G&gt;C</t>
  </si>
  <si>
    <t>PWWP2A</t>
  </si>
  <si>
    <t>p.E255D</t>
  </si>
  <si>
    <t>NM_001130864.1; NM_052927.2; NM_001267035.1</t>
  </si>
  <si>
    <t>c.765A&gt;T</t>
  </si>
  <si>
    <t>THRAP3</t>
  </si>
  <si>
    <t>p.P276A</t>
  </si>
  <si>
    <t>NM_001321473.1; NM_005119.3; NM_001321471.1</t>
  </si>
  <si>
    <t>c.826C&gt;G</t>
  </si>
  <si>
    <t>Exonic; ncRNA; 3'UTR</t>
  </si>
  <si>
    <t>IL12RB2</t>
  </si>
  <si>
    <t>p.S717Y; p.S803Y</t>
  </si>
  <si>
    <t>p31.3</t>
  </si>
  <si>
    <t>NR_047583.1; NM_001258214.1; NM_001258216.1; NM_001559.2; NM_001258215.1; NM_001319233.1; NR_047584.1</t>
  </si>
  <si>
    <t>c.*328C&gt;A; c.*309C&gt;A; c.2150C&gt;A; c.2408C&gt;A</t>
  </si>
  <si>
    <t>LRRC39</t>
  </si>
  <si>
    <t>NM_001256387.1; NM_001256386.1; NM_001256385.1; NM_144620.3</t>
  </si>
  <si>
    <t>c.376+2T&gt;A</t>
  </si>
  <si>
    <t>SPTA1</t>
  </si>
  <si>
    <t>p.A2341D</t>
  </si>
  <si>
    <t>NM_003126.2</t>
  </si>
  <si>
    <t>c.7022C&gt;A</t>
  </si>
  <si>
    <t>RAB3GAP2</t>
  </si>
  <si>
    <t>p.K579N</t>
  </si>
  <si>
    <t>q41</t>
  </si>
  <si>
    <t>NM_012414.3</t>
  </si>
  <si>
    <t>c.1737G&gt;T</t>
  </si>
  <si>
    <t>RPS7</t>
  </si>
  <si>
    <t>p.K155N</t>
  </si>
  <si>
    <t>NM_001011.3</t>
  </si>
  <si>
    <t>c.465G&gt;T</t>
  </si>
  <si>
    <t>PSME4</t>
  </si>
  <si>
    <t>p.F1728S</t>
  </si>
  <si>
    <t>p16.2</t>
  </si>
  <si>
    <t>NM_014614.2</t>
  </si>
  <si>
    <t>c.5183T&gt;C</t>
  </si>
  <si>
    <t>XIRP2</t>
  </si>
  <si>
    <t>p.K2454T; p.K2676T</t>
  </si>
  <si>
    <t>NM_001079810.3; NM_001199143.1; NM_152381.5; NM_001199144.1; NM_001199145.1</t>
  </si>
  <si>
    <t>c.1276-4613A&gt;C; c.8027A&gt;C; c.1177-4613A&gt;C; c.511-4613A&gt;C; c.7361A&gt;C</t>
  </si>
  <si>
    <t>CCDC141</t>
  </si>
  <si>
    <t>p.L698*</t>
  </si>
  <si>
    <t>q31.2</t>
  </si>
  <si>
    <t>NM_173648.3</t>
  </si>
  <si>
    <t>c.2093T&gt;A</t>
  </si>
  <si>
    <t>GAL3ST2</t>
  </si>
  <si>
    <t>p.A262V</t>
  </si>
  <si>
    <t>q37.3</t>
  </si>
  <si>
    <t>NM_022134.2</t>
  </si>
  <si>
    <t>c.785C&gt;T</t>
  </si>
  <si>
    <t>IFRD2</t>
  </si>
  <si>
    <t>p.C313F</t>
  </si>
  <si>
    <t>NM_006764.4</t>
  </si>
  <si>
    <t>c.938G&gt;T</t>
  </si>
  <si>
    <t>TBC1D19</t>
  </si>
  <si>
    <t>p.Y322C; p.Y387C</t>
  </si>
  <si>
    <t>NM_018317.3; NM_001292054.1</t>
  </si>
  <si>
    <t>c.965A&gt;G; c.1160A&gt;G</t>
  </si>
  <si>
    <t>PF4</t>
  </si>
  <si>
    <t>p.E59K</t>
  </si>
  <si>
    <t>NM_002619.3</t>
  </si>
  <si>
    <t>c.175G&gt;A</t>
  </si>
  <si>
    <t>WDFY3</t>
  </si>
  <si>
    <t>p.G2681*</t>
  </si>
  <si>
    <t>q21.23</t>
  </si>
  <si>
    <t>NM_014991.4</t>
  </si>
  <si>
    <t>c.8041G&gt;T</t>
  </si>
  <si>
    <t>OSMR</t>
  </si>
  <si>
    <t>p.G464R; p.G463R</t>
  </si>
  <si>
    <t>NM_001323506.1; NM_003999.2; NM_001323505.1; NM_001323507.1</t>
  </si>
  <si>
    <t>c.1390G&gt;A; c.1387G&gt;A</t>
  </si>
  <si>
    <t>CKMT2</t>
  </si>
  <si>
    <t>p.A192V</t>
  </si>
  <si>
    <t>NM_001099735.1; NM_001099736.1; NM_001825.2</t>
  </si>
  <si>
    <t>c.575C&gt;T</t>
  </si>
  <si>
    <t>NEUROG1</t>
  </si>
  <si>
    <t>p.A190D</t>
  </si>
  <si>
    <t>NM_006161.2</t>
  </si>
  <si>
    <t>c.569C&gt;A</t>
  </si>
  <si>
    <t>PCDHGB1</t>
  </si>
  <si>
    <t>p.A697fs*2</t>
  </si>
  <si>
    <t>NM_032096.1; NM_018916.3; NM_018923.2; NM_018912.2; NM_018917.3; NM_018915.3; NM_018922.2</t>
  </si>
  <si>
    <t>c.2421+29118delG; c.2409+9554delG; c.2514+4602delG; c.2424+20828delG; c.2089delG; c.2424+15766delG</t>
  </si>
  <si>
    <t>PCDHGA8</t>
  </si>
  <si>
    <t>p.V470F</t>
  </si>
  <si>
    <t>NM_018924.4; NM_018918.2; NM_018916.3; NM_018923.2; NM_018925.2; NM_018912.2; NM_018917.3; NM_003736.2; NM_018920.3; NM_032088.1; NM_018919.2; NM_018915.3; NM_032099.1; NM_018922.2</t>
  </si>
  <si>
    <t>c.2421+66430G&gt;T; c.2424+14212G&gt;T; c.2421+36979G&gt;T; c.2424+58140G&gt;T; c.2397+9254G&gt;T; c.2424+23028G&gt;T; c.2409+46866G&gt;T; c.2514+41914G&gt;T; c.2424+4298G&gt;T; c.2415+26726G&gt;T; c.2424+53078G&gt;T; c.2421+32784G&gt;T; c.1408G&gt;T</t>
  </si>
  <si>
    <t>p.M141T; p.M169T; p.M158T; p.M171T; p.M155T</t>
  </si>
  <si>
    <t>c.512T&gt;C; c.473T&gt;C; c.464T&gt;C; c.506T&gt;C; c.422T&gt;C</t>
  </si>
  <si>
    <t>CCDC170</t>
  </si>
  <si>
    <t>p.K158R</t>
  </si>
  <si>
    <t>NM_025059.3</t>
  </si>
  <si>
    <t>c.473A&gt;G</t>
  </si>
  <si>
    <t>WBSCR22</t>
  </si>
  <si>
    <t>p.D104Y</t>
  </si>
  <si>
    <t>NM_017528.4; NR_045512.1; NM_001202560.2; NR_037776.2</t>
  </si>
  <si>
    <t>c.310G&gt;T</t>
  </si>
  <si>
    <t>SND1</t>
  </si>
  <si>
    <t>p.K71N</t>
  </si>
  <si>
    <t>NM_014390.3</t>
  </si>
  <si>
    <t>c.213G&gt;T</t>
  </si>
  <si>
    <t>ISCA1</t>
  </si>
  <si>
    <t>p.E103D</t>
  </si>
  <si>
    <t>NM_030940.3</t>
  </si>
  <si>
    <t>c.309A&gt;C</t>
  </si>
  <si>
    <t>SUSD1</t>
  </si>
  <si>
    <t>p.A383S</t>
  </si>
  <si>
    <t>NM_001282640.1; NM_022486.4; NM_001282643.1</t>
  </si>
  <si>
    <t>c.1147G&gt;T</t>
  </si>
  <si>
    <t>MS4A12</t>
  </si>
  <si>
    <t>p.D146G; p.D192G</t>
  </si>
  <si>
    <t>NM_001164470.1; NM_017716.2</t>
  </si>
  <si>
    <t>c.575A&gt;G; c.437A&gt;G</t>
  </si>
  <si>
    <t>p.A406E; p.A283E</t>
  </si>
  <si>
    <t>c.848C&gt;A; c.1217C&gt;A</t>
  </si>
  <si>
    <t>A2M</t>
  </si>
  <si>
    <t>p.F1431L</t>
  </si>
  <si>
    <t>NM_000014.4</t>
  </si>
  <si>
    <t>c.4291T&gt;C</t>
  </si>
  <si>
    <t>ARID2</t>
  </si>
  <si>
    <t>p.Q1124H</t>
  </si>
  <si>
    <t>NM_152641.2</t>
  </si>
  <si>
    <t>c.3372G&gt;T</t>
  </si>
  <si>
    <t>SCN8A</t>
  </si>
  <si>
    <t>p.G472fs*53</t>
  </si>
  <si>
    <t>NM_001330260.1; NM_014191.3; NM_001177984.2</t>
  </si>
  <si>
    <t>c.1415delG</t>
  </si>
  <si>
    <t>p.G472V</t>
  </si>
  <si>
    <t>c.1415G&gt;T</t>
  </si>
  <si>
    <t>TBC1D30</t>
  </si>
  <si>
    <t>p.Q494H; p.Q380H</t>
  </si>
  <si>
    <t>NM_001330187.1; NM_001330188.1; NM_001330186.1; NM_015279.1</t>
  </si>
  <si>
    <t>c.1140G&gt;T; c.1482G&gt;T</t>
  </si>
  <si>
    <t>TMEM132B</t>
  </si>
  <si>
    <t>p.Q311H</t>
  </si>
  <si>
    <t>q24.31</t>
  </si>
  <si>
    <t>NM_052907.3</t>
  </si>
  <si>
    <t>c.933G&gt;C</t>
  </si>
  <si>
    <t>NUBPL</t>
  </si>
  <si>
    <t>NM_025152.2; NM_001201573.1; NM_001201574.1</t>
  </si>
  <si>
    <t>c.814+1G&gt;T; c.265+1G&gt;T; c.526+1G&gt;T</t>
  </si>
  <si>
    <t>GPR68</t>
  </si>
  <si>
    <t>p.V96L</t>
  </si>
  <si>
    <t>q32.11</t>
  </si>
  <si>
    <t>NM_003485.3; NM_001177676.1</t>
  </si>
  <si>
    <t>c.286G&gt;T</t>
  </si>
  <si>
    <t>TRAF3</t>
  </si>
  <si>
    <t>p.K55N</t>
  </si>
  <si>
    <t>q32.32</t>
  </si>
  <si>
    <t>NM_145725.2; NM_145726.2; NM_001199427.1; NM_003300.3</t>
  </si>
  <si>
    <t>c.165G&gt;C</t>
  </si>
  <si>
    <t>FAHD1</t>
  </si>
  <si>
    <t>p.G116R</t>
  </si>
  <si>
    <t>NM_001018104.2; NM_001040427.1; NM_001286249.1; NM_005326.4; NM_001142398.1; NM_031208.3</t>
  </si>
  <si>
    <t>c.346G&gt;A; c.-788C&gt;T; c.-1028C&gt;T</t>
  </si>
  <si>
    <t>CYLD</t>
  </si>
  <si>
    <t>p.A439D; p.A442D</t>
  </si>
  <si>
    <t>NM_015247.2; NM_001042355.1; NM_001042412.1</t>
  </si>
  <si>
    <t>c.1316C&gt;A; c.1325C&gt;A</t>
  </si>
  <si>
    <t>CHRNB1</t>
  </si>
  <si>
    <t>p.F290V</t>
  </si>
  <si>
    <t>NM_000747.2</t>
  </si>
  <si>
    <t>c.868T&gt;G</t>
  </si>
  <si>
    <t>KRT31</t>
  </si>
  <si>
    <t>p.C411F</t>
  </si>
  <si>
    <t>NM_002277.2</t>
  </si>
  <si>
    <t>c.1232G&gt;T</t>
  </si>
  <si>
    <t>SLC4A1</t>
  </si>
  <si>
    <t>p.E272V</t>
  </si>
  <si>
    <t>NM_000342.3</t>
  </si>
  <si>
    <t>c.815A&gt;T</t>
  </si>
  <si>
    <t>MRC2</t>
  </si>
  <si>
    <t>p.S1084fs*46</t>
  </si>
  <si>
    <t>NM_006039.4</t>
  </si>
  <si>
    <t>c.3250dupA</t>
  </si>
  <si>
    <t>SCN4A</t>
  </si>
  <si>
    <t>p.W762*</t>
  </si>
  <si>
    <t>NM_000334.4</t>
  </si>
  <si>
    <t>c.2285G&gt;A</t>
  </si>
  <si>
    <t>CTDP1</t>
  </si>
  <si>
    <t>p.E826D; p.E945D</t>
  </si>
  <si>
    <t>NM_001202504.1; NM_001318511.1; NM_004715.4; NM_048368.3</t>
  </si>
  <si>
    <t>c.*64G&gt;T; c.2835G&gt;T; c.2478G&gt;T; c.*68G&gt;T</t>
  </si>
  <si>
    <t>GNG7</t>
  </si>
  <si>
    <t>p.A32S</t>
  </si>
  <si>
    <t>NM_052847.2</t>
  </si>
  <si>
    <t>c.94G&gt;T</t>
  </si>
  <si>
    <t>DOHH</t>
  </si>
  <si>
    <t>p.A46S</t>
  </si>
  <si>
    <t>NM_031304.4; NM_001145165.1</t>
  </si>
  <si>
    <t>c.136G&gt;T</t>
  </si>
  <si>
    <t>p.S1302I</t>
  </si>
  <si>
    <t>c.3905G&gt;T</t>
  </si>
  <si>
    <t>ILF3</t>
  </si>
  <si>
    <t>p.A599P; p.A595P</t>
  </si>
  <si>
    <t>NM_004516.3; NM_017620.2; NM_153464.2; NM_012218.3; NM_001137673.1</t>
  </si>
  <si>
    <t>c.1795G&gt;C; c.1783G&gt;C</t>
  </si>
  <si>
    <t>GIPC1</t>
  </si>
  <si>
    <t>p.Q116H; p.Q19H</t>
  </si>
  <si>
    <t>NM_202494.2; NM_202470.2; NM_005716.3; NM_202469.2; NM_202468.2</t>
  </si>
  <si>
    <t>c.348G&gt;T; c.57G&gt;T</t>
  </si>
  <si>
    <t>MYBPC2</t>
  </si>
  <si>
    <t>p.W979C</t>
  </si>
  <si>
    <t>NM_004533.3</t>
  </si>
  <si>
    <t>c.2937G&gt;T</t>
  </si>
  <si>
    <t>NLRP9</t>
  </si>
  <si>
    <t>p.E358K</t>
  </si>
  <si>
    <t>3539551; 3539550</t>
  </si>
  <si>
    <t>NM_176820.3</t>
  </si>
  <si>
    <t>c.1072G&gt;A</t>
  </si>
  <si>
    <t>ZNF416</t>
  </si>
  <si>
    <t>p.G528R</t>
  </si>
  <si>
    <t>NM_017879.1</t>
  </si>
  <si>
    <t>c.1582G&gt;C</t>
  </si>
  <si>
    <t>SIGLEC1</t>
  </si>
  <si>
    <t>p.G1658A</t>
  </si>
  <si>
    <t>NM_023068.3</t>
  </si>
  <si>
    <t>c.4973G&gt;C</t>
  </si>
  <si>
    <t>ACSS2</t>
  </si>
  <si>
    <t>p.G159V; p.G254V</t>
  </si>
  <si>
    <t>NM_001242393.1; NM_018677.3; NM_001076552.2</t>
  </si>
  <si>
    <t>c.476G&gt;T; c.761G&gt;T</t>
  </si>
  <si>
    <t>PLA2G3</t>
  </si>
  <si>
    <t>p.R67M</t>
  </si>
  <si>
    <t>NM_015715.4</t>
  </si>
  <si>
    <t>c.200G&gt;T</t>
  </si>
  <si>
    <t>DDX53</t>
  </si>
  <si>
    <t>p.M361I</t>
  </si>
  <si>
    <t>p22.11</t>
  </si>
  <si>
    <t>NM_182699.3</t>
  </si>
  <si>
    <t>c.1083G&gt;C</t>
  </si>
  <si>
    <t>DRP2</t>
  </si>
  <si>
    <t>p.K906N; p.K828N</t>
  </si>
  <si>
    <t>NM_001171184.1; NM_001939.2</t>
  </si>
  <si>
    <t>c.2718G&gt;T; c.2484G&gt;T</t>
  </si>
  <si>
    <t>GLRA4</t>
  </si>
  <si>
    <t>p.L259V</t>
  </si>
  <si>
    <t>NM_001024452.2; NM_001172285.1</t>
  </si>
  <si>
    <t>c.775C&gt;G</t>
  </si>
  <si>
    <t>SMU1</t>
  </si>
  <si>
    <t>p.A26T</t>
  </si>
  <si>
    <t>NM_018225.2</t>
  </si>
  <si>
    <t>c.76G&gt;A</t>
  </si>
  <si>
    <t>CHAC1</t>
  </si>
  <si>
    <t>p.R211Q; p.R166Q</t>
  </si>
  <si>
    <t>q15.1</t>
  </si>
  <si>
    <t>NM_001142776.2; NM_024111.4</t>
  </si>
  <si>
    <t>c.497G&gt;A; c.632G&gt;A</t>
  </si>
  <si>
    <t>p.T1014A</t>
  </si>
  <si>
    <t>c.3040A&gt;G; c.9631-9069A&gt;G</t>
  </si>
  <si>
    <t>GJA8</t>
  </si>
  <si>
    <t>p.L29I</t>
  </si>
  <si>
    <t>NM_005267.4</t>
  </si>
  <si>
    <t>c.85C&gt;A</t>
  </si>
  <si>
    <t>PSD4</t>
  </si>
  <si>
    <t>p.G220V</t>
  </si>
  <si>
    <t>NM_012455.2</t>
  </si>
  <si>
    <t>c.659G&gt;T</t>
  </si>
  <si>
    <t>CCDC66</t>
  </si>
  <si>
    <t>p.S563P; p.S599P; p.S242P; p.S583P; p.S572P; p.S573P; p.S264P; p.S307P; p.S606P; p.S556P; p.S600P; p.S612P</t>
  </si>
  <si>
    <t>NR_148368.1; NM_001353150.1; NR_148369.1; NM_001353151.1; NM_001353158.1; NR_148373.1; NR_148372.1; NR_024460.2; NR_148376.1; NR_148366.1; NM_001353153.1; NR_148375.1; NR_148367.1; NM_001353152.1; NR_148378.1; NM_001353155.1; NM_001012506.5; NM_001353149.1; NM_001353160.1; NM_001353147.1; NR_148377.1; NM_001353154.1; NM_001353148.1; NR_148371.1; NM_001353156.1; NM_001141947.2; NR_148370.1; NR_148374.1</t>
  </si>
  <si>
    <t>c.1714T&gt;C; c.790T&gt;C; c.1834T&gt;C; c.1717T&gt;C; c.919T&gt;C; c.1816T&gt;C; c.1795T&gt;C; c.1687T&gt;C; c.1747T&gt;C; c.724T&gt;C; c.1666T&gt;C; c.1798T&gt;C</t>
  </si>
  <si>
    <t>WASHC2A/WASHC2C</t>
  </si>
  <si>
    <t>p.L569S</t>
  </si>
  <si>
    <t>NM_001330102.1; NM_001005751.2; NM_001291398.1</t>
  </si>
  <si>
    <t>c.1706T&gt;C</t>
  </si>
  <si>
    <t>LMTK3</t>
  </si>
  <si>
    <t>p.R1330W</t>
  </si>
  <si>
    <t>NM_001080434.1</t>
  </si>
  <si>
    <t>c.3988C&gt;T</t>
  </si>
  <si>
    <t>BMP8B</t>
  </si>
  <si>
    <t>p.A282T</t>
  </si>
  <si>
    <t>p34.2</t>
  </si>
  <si>
    <t>NM_001720.4</t>
  </si>
  <si>
    <t>c.844G&gt;A</t>
  </si>
  <si>
    <t>OR2L13</t>
  </si>
  <si>
    <t>p.F11L</t>
  </si>
  <si>
    <t>q44</t>
  </si>
  <si>
    <t>NM_001304535.1; NM_175911.3</t>
  </si>
  <si>
    <t>c.33C&gt;A</t>
  </si>
  <si>
    <t>KIDINS220</t>
  </si>
  <si>
    <t>p.M940V; p.M939V; p.M897V</t>
  </si>
  <si>
    <t>NM_001348738.1; NM_001348740.1; NM_001348743.1; NM_001348732.1; NM_001348729.1; NM_001348736.1; NM_001348742.1; NR_145964.1; NM_001348731.1; NM_001348735.1; NM_020738.3; NM_001348741.1; NM_001348739.1; NM_001348734.1; NR_145965.1; NM_001348745.1</t>
  </si>
  <si>
    <t>c.2689A&gt;G; c.2818A&gt;G; c.2815A&gt;G</t>
  </si>
  <si>
    <t>SLC35F6</t>
  </si>
  <si>
    <t>p.L15V</t>
  </si>
  <si>
    <t>p23.3</t>
  </si>
  <si>
    <t>NM_017877.3</t>
  </si>
  <si>
    <t>c.43C&gt;G</t>
  </si>
  <si>
    <t>OTX1</t>
  </si>
  <si>
    <t>p.A91V</t>
  </si>
  <si>
    <t>p15</t>
  </si>
  <si>
    <t>NR_130153.1; NM_001199770.1; NM_014562.3</t>
  </si>
  <si>
    <t>c.272C&gt;T</t>
  </si>
  <si>
    <t>CCDC138</t>
  </si>
  <si>
    <t>p.L260*; p.L253*; p.L254*; p.L212*; p.L259*; p.L249*</t>
  </si>
  <si>
    <t>NM_001351549.1; NM_001303106.1; NM_001351555.1; NR_147237.1; NM_144978.2; NM_001351545.1; NM_001351559.1; NM_001351561.1; NM_001351548.1; NR_130121.1; NM_001351544.1; NM_001351551.1; NM_001351553.1; NM_001351557.1; NM_001303105.1; NM_001351554.1; NM_001351565.1; NR_147238.1; NR_147236.1</t>
  </si>
  <si>
    <t>c.635T&gt;G; c.779T&gt;G; c.761T&gt;G; c.746T&gt;G; c.-188T&gt;G; c.776T&gt;G; c.758T&gt;G</t>
  </si>
  <si>
    <t>COL4A3</t>
  </si>
  <si>
    <t>p.G1140C</t>
  </si>
  <si>
    <t>q36.3</t>
  </si>
  <si>
    <t>NM_000091.4</t>
  </si>
  <si>
    <t>c.3418G&gt;T</t>
  </si>
  <si>
    <t>SP110</t>
  </si>
  <si>
    <t>p.K51N; p.K45N</t>
  </si>
  <si>
    <t>q37.1</t>
  </si>
  <si>
    <t>NM_001185015.1; NM_004509.3; NM_004510.3; NM_080424.2</t>
  </si>
  <si>
    <t>c.135G&gt;T; c.153G&gt;T</t>
  </si>
  <si>
    <t>RNF123</t>
  </si>
  <si>
    <t>p.V555F</t>
  </si>
  <si>
    <t>NR_135218.1; NM_022064.4</t>
  </si>
  <si>
    <t>c.1663G&gt;T</t>
  </si>
  <si>
    <t>HYAL1</t>
  </si>
  <si>
    <t>p.F204L; p.F22L</t>
  </si>
  <si>
    <t>NM_153285.2; NR_047690.1; NM_153283.2; NM_153281.1; NM_153282.2; NM_033159.3</t>
  </si>
  <si>
    <t>c.612C&gt;A; c.66C&gt;A; c.-26-140C&gt;A</t>
  </si>
  <si>
    <t>CACNA1D</t>
  </si>
  <si>
    <t>p.S228R</t>
  </si>
  <si>
    <t>NM_000720.3; NM_001128840.2; NM_001128839.2</t>
  </si>
  <si>
    <t>c.682A&gt;C</t>
  </si>
  <si>
    <t>BBX</t>
  </si>
  <si>
    <t>p.E302Q</t>
  </si>
  <si>
    <t>NM_020235.6; NM_001142568.2; NM_001276286.1</t>
  </si>
  <si>
    <t>c.904G&gt;C</t>
  </si>
  <si>
    <t>ADCY5</t>
  </si>
  <si>
    <t>p.A532V; p.A882V</t>
  </si>
  <si>
    <t>NM_183357.2; NM_001199642.1</t>
  </si>
  <si>
    <t>c.1595C&gt;T; c.2645C&gt;T</t>
  </si>
  <si>
    <t>LNX1</t>
  </si>
  <si>
    <t>p.F28L</t>
  </si>
  <si>
    <t>NM_001126328.2</t>
  </si>
  <si>
    <t>c.84C&gt;A</t>
  </si>
  <si>
    <t>SULT1E1</t>
  </si>
  <si>
    <t>p.H107N</t>
  </si>
  <si>
    <t>NM_005420.2</t>
  </si>
  <si>
    <t>c.319C&gt;A</t>
  </si>
  <si>
    <t>ELOVL7</t>
  </si>
  <si>
    <t>p.G94D; p.G81D; p.G7D</t>
  </si>
  <si>
    <t>NM_001297618.1; NM_024930.2; NM_001297617.1; NM_001104558.1</t>
  </si>
  <si>
    <t>c.242G&gt;A; c.20G&gt;A; c.281G&gt;A</t>
  </si>
  <si>
    <t>FAM172A</t>
  </si>
  <si>
    <t>p.R181L; p.R117L; p.R227L</t>
  </si>
  <si>
    <t>q15</t>
  </si>
  <si>
    <t>NR_028080.1; NM_001163417.1; NM_001163418.1; NM_032042.5</t>
  </si>
  <si>
    <t>c.350G&gt;T; c.542G&gt;T; c.680G&gt;T</t>
  </si>
  <si>
    <t>GPANK1</t>
  </si>
  <si>
    <t>p.G271*</t>
  </si>
  <si>
    <t>NM_033177.3; NM_001199240.1; NM_001199238.1; NM_001199239.1; NM_001199237.1; NM_021184.3</t>
  </si>
  <si>
    <t>c.811G&gt;T; c.-2579G&gt;T</t>
  </si>
  <si>
    <t>EHMT2</t>
  </si>
  <si>
    <t>p.R416Q; p.R359Q; p.R150Q</t>
  </si>
  <si>
    <t>NM_025256.6; NM_006709.4; NM_001318833.1; NM_001289413.1</t>
  </si>
  <si>
    <t>c.1247G&gt;A; c.1076G&gt;A; c.449G&gt;A</t>
  </si>
  <si>
    <t>HLA-DOB</t>
  </si>
  <si>
    <t>p.L193H</t>
  </si>
  <si>
    <t>NM_002120.3</t>
  </si>
  <si>
    <t>c.578T&gt;A</t>
  </si>
  <si>
    <t>ANKRD6</t>
  </si>
  <si>
    <t>p.E617K; p.E652K; p.E588K; p.E647K</t>
  </si>
  <si>
    <t>NM_001242809.1; NM_001242813.1; NM_014942.4; NM_001242811.1; NM_001242814.1</t>
  </si>
  <si>
    <t>c.1762G&gt;A; c.1939G&gt;A; c.1849G&gt;A; c.1954G&gt;A</t>
  </si>
  <si>
    <t>KLHL7</t>
  </si>
  <si>
    <t>p.H363N; p.H411N</t>
  </si>
  <si>
    <t>NR_033328.1; NM_018846.4; NM_001031710.2</t>
  </si>
  <si>
    <t>c.1231C&gt;A; c.1087C&gt;A</t>
  </si>
  <si>
    <t>VWC2</t>
  </si>
  <si>
    <t>p.L228F</t>
  </si>
  <si>
    <t>p12.2</t>
  </si>
  <si>
    <t>NR_136188.1; NM_198570.4</t>
  </si>
  <si>
    <t>c.684G&gt;T</t>
  </si>
  <si>
    <t>p.G178V</t>
  </si>
  <si>
    <t>NM_001127231.2; NM_015570.3; NM_001127232.2</t>
  </si>
  <si>
    <t>c.533G&gt;T</t>
  </si>
  <si>
    <t>KCNH2</t>
  </si>
  <si>
    <t>p.A244P</t>
  </si>
  <si>
    <t>NM_000238.3; NM_172056.2</t>
  </si>
  <si>
    <t>c.730G&gt;C</t>
  </si>
  <si>
    <t>FGFR1</t>
  </si>
  <si>
    <t>p.W646S; p.W733S; p.W644S; p.W727S; p.W737S; p.W648S; p.W735S; p.W768S</t>
  </si>
  <si>
    <t>NM_001354369.1; NM_001174063.1; NM_001354370.1; NM_001174067.1; NM_023110.2; NM_001354368.1; NM_023105.2; NM_015850.3; NM_001174064.1; NM_023106.2; NM_001174065.1; NM_001174066.1; NM_001354367.1</t>
  </si>
  <si>
    <t>c.2210G&gt;C; c.1931G&gt;C; c.2180G&gt;C; c.2303G&gt;C; c.2198G&gt;C; c.1943G&gt;C; c.2204G&gt;C; c.1937G&gt;C</t>
  </si>
  <si>
    <t>KIAA0368</t>
  </si>
  <si>
    <t>p.D404G</t>
  </si>
  <si>
    <t>NM_001080398.1</t>
  </si>
  <si>
    <t>c.1211A&gt;G</t>
  </si>
  <si>
    <t>NEBL</t>
  </si>
  <si>
    <t>p.A697V</t>
  </si>
  <si>
    <t>p12.31</t>
  </si>
  <si>
    <t>NM_001173484.1; NM_213569.2; NM_006393.2</t>
  </si>
  <si>
    <t>c.358-4718C&gt;T; c.2090C&gt;T</t>
  </si>
  <si>
    <t>GOT1</t>
  </si>
  <si>
    <t>p.Q287K</t>
  </si>
  <si>
    <t>NM_002079.2</t>
  </si>
  <si>
    <t>c.859C&gt;A</t>
  </si>
  <si>
    <t>INPP5F</t>
  </si>
  <si>
    <t>p.G290E</t>
  </si>
  <si>
    <t>q26.11</t>
  </si>
  <si>
    <t>NM_014937.3</t>
  </si>
  <si>
    <t>c.869G&gt;A</t>
  </si>
  <si>
    <t>IGSF22</t>
  </si>
  <si>
    <t>p.L1160fs*38</t>
  </si>
  <si>
    <t>NM_173588.3</t>
  </si>
  <si>
    <t>c.3477delG</t>
  </si>
  <si>
    <t>OR4A47</t>
  </si>
  <si>
    <t>p.S290Y</t>
  </si>
  <si>
    <t>p11.2</t>
  </si>
  <si>
    <t>NM_001005512.2</t>
  </si>
  <si>
    <t>c.869C&gt;A</t>
  </si>
  <si>
    <t>OR5T1</t>
  </si>
  <si>
    <t>p.L4F</t>
  </si>
  <si>
    <t>NM_001004745.1</t>
  </si>
  <si>
    <t>c.12G&gt;T</t>
  </si>
  <si>
    <t>CLEC4E</t>
  </si>
  <si>
    <t>p.F138fs*21</t>
  </si>
  <si>
    <t>NM_014358.3</t>
  </si>
  <si>
    <t>c.414delT</t>
  </si>
  <si>
    <t>PZP</t>
  </si>
  <si>
    <t>p.N970K</t>
  </si>
  <si>
    <t>NM_002864.2</t>
  </si>
  <si>
    <t>c.2910T&gt;G</t>
  </si>
  <si>
    <t>ESPL1</t>
  </si>
  <si>
    <t>p.Q1674*</t>
  </si>
  <si>
    <t>NM_012291.4</t>
  </si>
  <si>
    <t>c.5020C&gt;T</t>
  </si>
  <si>
    <t>CEP290</t>
  </si>
  <si>
    <t>p.K1227I</t>
  </si>
  <si>
    <t>NM_025114.3</t>
  </si>
  <si>
    <t>c.3680A&gt;T</t>
  </si>
  <si>
    <t>MSI1</t>
  </si>
  <si>
    <t>p.A79S</t>
  </si>
  <si>
    <t>NM_002442.3</t>
  </si>
  <si>
    <t>c.235G&gt;T</t>
  </si>
  <si>
    <t>OR4K17</t>
  </si>
  <si>
    <t>p.P198H</t>
  </si>
  <si>
    <t>NM_001004715.1</t>
  </si>
  <si>
    <t>c.593C&gt;A</t>
  </si>
  <si>
    <t>FBXO22</t>
  </si>
  <si>
    <t>p.E115*</t>
  </si>
  <si>
    <t>NM_147188.2; NM_012170.3; NR_037623.1</t>
  </si>
  <si>
    <t>c.343G&gt;T</t>
  </si>
  <si>
    <t>CRAMP1</t>
  </si>
  <si>
    <t>p.A1120E</t>
  </si>
  <si>
    <t>NM_020825.3</t>
  </si>
  <si>
    <t>c.3359C&gt;A</t>
  </si>
  <si>
    <t>TXNDC11</t>
  </si>
  <si>
    <t>p.V335F; p.V94F; p.V308F</t>
  </si>
  <si>
    <t>p13.13</t>
  </si>
  <si>
    <t>NR_136673.1; NM_001324025.1; NM_001303447.1; NM_001324022.1; NR_136671.1; NR_136674.1; NM_001324024.1; NR_136672.1; NM_015914.6</t>
  </si>
  <si>
    <t>c.-435G&gt;T; c.922G&gt;T; c.1003G&gt;T; c.280G&gt;T</t>
  </si>
  <si>
    <t>ACSM2B</t>
  </si>
  <si>
    <t>p.E185*</t>
  </si>
  <si>
    <t>NM_001105069.1; NM_182617.3</t>
  </si>
  <si>
    <t>c.553G&gt;T</t>
  </si>
  <si>
    <t>SLC5A10</t>
  </si>
  <si>
    <t>p.A229D; p.A146D; p.A202D</t>
  </si>
  <si>
    <t>NM_001042450.2; NM_001270649.1; NM_001282417.1; NM_001270648.1; NM_152351.4</t>
  </si>
  <si>
    <t>c.605C&gt;A; c.686C&gt;A; c.437C&gt;A</t>
  </si>
  <si>
    <t>KIF18B</t>
  </si>
  <si>
    <t>p.W742L; p.W754L</t>
  </si>
  <si>
    <t>NM_001265577.1; NM_001264573.1</t>
  </si>
  <si>
    <t>c.2261G&gt;T; c.2225G&gt;T</t>
  </si>
  <si>
    <t>HEATR6</t>
  </si>
  <si>
    <t>p.Q958H</t>
  </si>
  <si>
    <t>NM_022070.4</t>
  </si>
  <si>
    <t>c.2874G&gt;C</t>
  </si>
  <si>
    <t>DSG3</t>
  </si>
  <si>
    <t>p.V423F</t>
  </si>
  <si>
    <t>NM_001944.2</t>
  </si>
  <si>
    <t>c.1267G&gt;T</t>
  </si>
  <si>
    <t>FBN3</t>
  </si>
  <si>
    <t>p.G56R</t>
  </si>
  <si>
    <t>NM_032447.4; NM_001321431.1</t>
  </si>
  <si>
    <t>c.166G&gt;A</t>
  </si>
  <si>
    <t>LYPD3</t>
  </si>
  <si>
    <t>p.A261V</t>
  </si>
  <si>
    <t>NM_014400.2</t>
  </si>
  <si>
    <t>c.782C&gt;T</t>
  </si>
  <si>
    <t>PCNA</t>
  </si>
  <si>
    <t>p.S186G</t>
  </si>
  <si>
    <t>NM_002592.2; NM_182649.1</t>
  </si>
  <si>
    <t>c.556A&gt;G</t>
  </si>
  <si>
    <t>SNRPB2</t>
  </si>
  <si>
    <t>p.K111T</t>
  </si>
  <si>
    <t>NM_198220.2; NM_003092.4</t>
  </si>
  <si>
    <t>c.332A&gt;C</t>
  </si>
  <si>
    <t>CLDN34</t>
  </si>
  <si>
    <t>p.N141K</t>
  </si>
  <si>
    <t>NM_001195081.1</t>
  </si>
  <si>
    <t>c.423C&gt;A</t>
  </si>
  <si>
    <t>REPS2</t>
  </si>
  <si>
    <t>p.S548C; p.S549C</t>
  </si>
  <si>
    <t>p22.13</t>
  </si>
  <si>
    <t>NM_004726.2; NM_001080975.1</t>
  </si>
  <si>
    <t>c.1642A&gt;T; c.1645A&gt;T</t>
  </si>
  <si>
    <t>DGKK</t>
  </si>
  <si>
    <t>p.W30*</t>
  </si>
  <si>
    <t>NM_001013742.3</t>
  </si>
  <si>
    <t>c.90G&gt;A</t>
  </si>
  <si>
    <t>CXorf67</t>
  </si>
  <si>
    <t>p.E25K</t>
  </si>
  <si>
    <t>NM_203407.2</t>
  </si>
  <si>
    <t>c.73G&gt;A</t>
  </si>
  <si>
    <t>FAM104B</t>
  </si>
  <si>
    <t>p.Y90F; p.Y91F</t>
  </si>
  <si>
    <t>NM_001166699.1; NR_030722.1; NM_138362.3</t>
  </si>
  <si>
    <t>c.269A&gt;T; c.272A&gt;T</t>
  </si>
  <si>
    <t>ZC3H12B</t>
  </si>
  <si>
    <t>p.G541R</t>
  </si>
  <si>
    <t>NM_001010888.3</t>
  </si>
  <si>
    <t>c.1621G&gt;A</t>
  </si>
  <si>
    <t>GPR119</t>
  </si>
  <si>
    <t>p.R287*</t>
  </si>
  <si>
    <t>NM_178471.2</t>
  </si>
  <si>
    <t>c.859C&gt;T</t>
  </si>
  <si>
    <t>ENOX2</t>
  </si>
  <si>
    <t>p.A222S; p.A193S</t>
  </si>
  <si>
    <t>NM_182314.2; NM_006375.3; NM_001281736.1</t>
  </si>
  <si>
    <t>c.664G&gt;T; c.577G&gt;T</t>
  </si>
  <si>
    <t>SV TYPE</t>
  </si>
  <si>
    <t>Breakpoint position relative gene(s)</t>
  </si>
  <si>
    <t>Fused with</t>
  </si>
  <si>
    <t>DUP</t>
  </si>
  <si>
    <t>Break CAMTA1</t>
  </si>
  <si>
    <t>&gt;&gt;&gt;&gt;&gt;&gt;</t>
  </si>
  <si>
    <t>CAMTA1</t>
  </si>
  <si>
    <t>UNK</t>
  </si>
  <si>
    <t>Tel. seq</t>
  </si>
  <si>
    <t>DEL</t>
  </si>
  <si>
    <t>ds LINC01750, us CTTNBP2NL</t>
  </si>
  <si>
    <t>Break WNT2B</t>
  </si>
  <si>
    <t>WNT2B</t>
  </si>
  <si>
    <t>INV</t>
  </si>
  <si>
    <t>ds LINC01797, us LINC01799</t>
  </si>
  <si>
    <t>ds FUNDC2P2, us SUCLG1</t>
  </si>
  <si>
    <t>Break PROC</t>
  </si>
  <si>
    <t>Break MYO7B</t>
  </si>
  <si>
    <t>PROC, MYO7B</t>
  </si>
  <si>
    <t>Break FOXP1</t>
  </si>
  <si>
    <t>FOXP1</t>
  </si>
  <si>
    <t>Break EEFSEC</t>
  </si>
  <si>
    <t>C3orf27,us RPN1</t>
  </si>
  <si>
    <t>EEFSEC</t>
  </si>
  <si>
    <t>BND</t>
  </si>
  <si>
    <t>Break ABLIM2</t>
  </si>
  <si>
    <t>CSF1R</t>
  </si>
  <si>
    <t>ABLIM2, CSF1R</t>
  </si>
  <si>
    <t>Break GPM6A</t>
  </si>
  <si>
    <t>GPM6A</t>
  </si>
  <si>
    <t>Break CSF1R</t>
  </si>
  <si>
    <t>Break PYGM</t>
  </si>
  <si>
    <t>CSF1R, PYGM</t>
  </si>
  <si>
    <t>ds TFAP2B, us PKHD1</t>
  </si>
  <si>
    <t>Break PKHD1</t>
  </si>
  <si>
    <t>PKHD1</t>
  </si>
  <si>
    <t>Break SUN1</t>
  </si>
  <si>
    <t xml:space="preserve">Break GSAP </t>
  </si>
  <si>
    <t>SUN1, GSAP</t>
  </si>
  <si>
    <t>Break ABCB5</t>
  </si>
  <si>
    <t>Break CNTNAP2</t>
  </si>
  <si>
    <t>CNTNAP2</t>
  </si>
  <si>
    <t>Break C7orf33</t>
  </si>
  <si>
    <t>ds SPPL2B, us TMPRSS9</t>
  </si>
  <si>
    <t xml:space="preserve"> C7orf33</t>
  </si>
  <si>
    <t>ds MRPL15, us SOX17</t>
  </si>
  <si>
    <t>OXR1 intronic</t>
  </si>
  <si>
    <t>Break CFAP54</t>
  </si>
  <si>
    <t>CFAP54</t>
  </si>
  <si>
    <t>ANKS1B intronic</t>
  </si>
  <si>
    <t>Break KSR2</t>
  </si>
  <si>
    <t>KSR2</t>
  </si>
  <si>
    <t>LINC00558 intronic</t>
  </si>
  <si>
    <t>ds LINC00558, us PRR20A</t>
  </si>
  <si>
    <t>Rep. seq</t>
  </si>
  <si>
    <t>Break DMD</t>
  </si>
  <si>
    <t>DMD</t>
  </si>
  <si>
    <t>Break ATRX</t>
  </si>
  <si>
    <t>ATRX</t>
  </si>
  <si>
    <t>ds FADD, us PPFIA1</t>
  </si>
  <si>
    <t>ds KRT23, us KRT39</t>
  </si>
  <si>
    <t>ds MIIP, us TNFRSF8</t>
  </si>
  <si>
    <t>subtelomeric, us IQSEQ3</t>
  </si>
  <si>
    <t>Break FMN2</t>
  </si>
  <si>
    <t>ds C17orf12, us KIF2B</t>
  </si>
  <si>
    <t>FMN2</t>
  </si>
  <si>
    <t>ds ZNF496, us NLRP3</t>
  </si>
  <si>
    <t>ds NR_135646, us LOC339192</t>
  </si>
  <si>
    <t>ds SOX11,us LOC150622</t>
  </si>
  <si>
    <t>TTC27 intronic</t>
  </si>
  <si>
    <t>Break SLC4A5</t>
  </si>
  <si>
    <t>SLC4A5</t>
  </si>
  <si>
    <t>SLC4A5 intronic</t>
  </si>
  <si>
    <t>BAZ2B intronic</t>
  </si>
  <si>
    <t>ds SGOL1, us VENTXP7</t>
  </si>
  <si>
    <t>Break TRIM71</t>
  </si>
  <si>
    <t>ds CCNL1, VEPH1</t>
  </si>
  <si>
    <t>TRIM71</t>
  </si>
  <si>
    <t>Break MED12L</t>
  </si>
  <si>
    <t>Break ADD1</t>
  </si>
  <si>
    <t>ADD1</t>
  </si>
  <si>
    <t>ATP10D intronic</t>
  </si>
  <si>
    <t>ds GLRA3, us ADAM29</t>
  </si>
  <si>
    <t>73kb ds ADAM29, 797kb us GPM6A</t>
  </si>
  <si>
    <t>ds LINC02223, us CDH18</t>
  </si>
  <si>
    <t>Break CASC3</t>
  </si>
  <si>
    <t>CASC3</t>
  </si>
  <si>
    <t>ds RNF144B, us ID4</t>
  </si>
  <si>
    <t>ds LINC00221, us MIR7641-2</t>
  </si>
  <si>
    <t>ds GPR110, us TNFRSF21</t>
  </si>
  <si>
    <t>AFG1L intronic</t>
  </si>
  <si>
    <t xml:space="preserve">DEL </t>
  </si>
  <si>
    <t>Break AMD1</t>
  </si>
  <si>
    <t>ds FYN, us WISP3</t>
  </si>
  <si>
    <t>AMD1</t>
  </si>
  <si>
    <t>ds FLJ45974,us HPVC1</t>
  </si>
  <si>
    <t>Break HPSE2</t>
  </si>
  <si>
    <t>HPSE2</t>
  </si>
  <si>
    <t>Break DBC1</t>
  </si>
  <si>
    <t>DBC1</t>
  </si>
  <si>
    <t>ds SEMA3A, us SEMA3D</t>
  </si>
  <si>
    <t>VPS50 intronic</t>
  </si>
  <si>
    <t>ds IMMP2L, us DOCK4</t>
  </si>
  <si>
    <t>ds METTL2B, us FLJ45340</t>
  </si>
  <si>
    <t>ds LSMEM1, us NR_110160</t>
  </si>
  <si>
    <t>Break AGCYL2</t>
  </si>
  <si>
    <t>Subtelomeric</t>
  </si>
  <si>
    <t>AGCYL2</t>
  </si>
  <si>
    <t>ds ACTR3B, us DPP6</t>
  </si>
  <si>
    <t>Intronic NCOA2</t>
  </si>
  <si>
    <t xml:space="preserve">Break ADCY8 </t>
  </si>
  <si>
    <t xml:space="preserve">ADCY8 </t>
  </si>
  <si>
    <t>ds UNQ6494, us LOC286370</t>
  </si>
  <si>
    <t>ds GOLGA3, us CHFR</t>
  </si>
  <si>
    <t>INS</t>
  </si>
  <si>
    <t>Break BRINP1</t>
  </si>
  <si>
    <t>Break ZBTB21</t>
  </si>
  <si>
    <t>BRINP1, ZBTB21</t>
  </si>
  <si>
    <t>BRINP1, HPSE2</t>
  </si>
  <si>
    <t>ds LINC00700, us LINC00701</t>
  </si>
  <si>
    <t>ds RHOD, us KDM2A</t>
  </si>
  <si>
    <t>ds PELI2, us NR_135241</t>
  </si>
  <si>
    <t>Break AMOTL1</t>
  </si>
  <si>
    <t>AMOTL1</t>
  </si>
  <si>
    <t>ds FAM60A, us DENND5B</t>
  </si>
  <si>
    <t>ds UBE3B, us MMAB</t>
  </si>
  <si>
    <t>Break MMAB</t>
  </si>
  <si>
    <t>MMAB</t>
  </si>
  <si>
    <t>Break NUBPL</t>
  </si>
  <si>
    <t>ds LRFN5, us FSCB</t>
  </si>
  <si>
    <t>Break VRK1</t>
  </si>
  <si>
    <t>VRK1</t>
  </si>
  <si>
    <t>Un_gl000220</t>
  </si>
  <si>
    <t>ds MAPK6, us BCL2L10</t>
  </si>
  <si>
    <t>ds REXO1, us KLF16</t>
  </si>
  <si>
    <t>ds KLF16, us ABHD17A</t>
  </si>
  <si>
    <t>ds NR_037142, us SIRPA</t>
  </si>
  <si>
    <t>ds EVA1C, us TCP10L</t>
  </si>
  <si>
    <t>ds TCP10L, us C21orf59</t>
  </si>
  <si>
    <t>ds APOBEC3D, us APOBEC3F</t>
  </si>
  <si>
    <t>ds APOBEC3F, us APOBEC3G</t>
  </si>
  <si>
    <t>ds ARX, us MAGEB18</t>
  </si>
  <si>
    <t>Break UBTF</t>
  </si>
  <si>
    <t>&gt;&gt;&gt;&gt;&gt;</t>
  </si>
  <si>
    <t>ds FGF10, us LINC02224</t>
  </si>
  <si>
    <t xml:space="preserve"> UBTF</t>
  </si>
  <si>
    <t>Break ATP2B4</t>
  </si>
  <si>
    <t>Break CTNND2</t>
  </si>
  <si>
    <t xml:space="preserve"> ATP2B4, CTNND2</t>
  </si>
  <si>
    <t>Break LINC01122</t>
  </si>
  <si>
    <t>Break PDZD2</t>
  </si>
  <si>
    <t xml:space="preserve"> LINC01122, PDZD2</t>
  </si>
  <si>
    <t>Break MIR34AHG</t>
  </si>
  <si>
    <t>Break NR_125974</t>
  </si>
  <si>
    <t xml:space="preserve"> MIR34AHG,  NR_125974</t>
  </si>
  <si>
    <t>Break LINC01828</t>
  </si>
  <si>
    <t xml:space="preserve"> LINC01828</t>
  </si>
  <si>
    <t>Break NR_125902</t>
  </si>
  <si>
    <t xml:space="preserve"> NR_125902</t>
  </si>
  <si>
    <t>ds LINC02433, us FAM198B</t>
  </si>
  <si>
    <t>ds CTD-3080P12.3, us SLC6A19</t>
  </si>
  <si>
    <t>Break ZNF346</t>
  </si>
  <si>
    <t xml:space="preserve"> ZNF346</t>
  </si>
  <si>
    <t>ds FGF10, us LINC002224</t>
  </si>
  <si>
    <t>ds DAP, us CTNND2</t>
  </si>
  <si>
    <t xml:space="preserve"> CTNND2</t>
  </si>
  <si>
    <t>Break CCDC125</t>
  </si>
  <si>
    <t xml:space="preserve"> CTNND2, CCDC125</t>
  </si>
  <si>
    <t>ds MIER3, us GPBP1</t>
  </si>
  <si>
    <t>Break UIMC1</t>
  </si>
  <si>
    <t xml:space="preserve"> UIMC1</t>
  </si>
  <si>
    <t>ds ACTBL2, us LINCR-0003</t>
  </si>
  <si>
    <t>ds MARVELD2, us NR_134279</t>
  </si>
  <si>
    <t>EFNA5 intronic</t>
  </si>
  <si>
    <t>Break MET</t>
  </si>
  <si>
    <t>Break CAPZA2</t>
  </si>
  <si>
    <t xml:space="preserve"> MET, CAPZA2</t>
  </si>
  <si>
    <t>TOX intronic</t>
  </si>
  <si>
    <t>PTPRD intronic</t>
  </si>
  <si>
    <t>ds LINC02330, us GALC</t>
  </si>
  <si>
    <t xml:space="preserve"> X</t>
  </si>
  <si>
    <t>ds TGIF2LX, us PABPC5-AS1</t>
  </si>
  <si>
    <t>Rep Seq</t>
  </si>
  <si>
    <t>ds NAP1L3, us MIR548M</t>
  </si>
  <si>
    <t>Break MID2</t>
  </si>
  <si>
    <t xml:space="preserve"> MID2</t>
  </si>
  <si>
    <t>Intronic PTPRD</t>
  </si>
  <si>
    <t>ds PTPRR, us TSPAN8</t>
  </si>
  <si>
    <t>Break UBTF (Chr17)</t>
  </si>
  <si>
    <t>Break LARGE1 (Chr22)</t>
  </si>
  <si>
    <t>UBTF, LARGE1</t>
  </si>
  <si>
    <t>ds LINC01645, us LINC01741</t>
  </si>
  <si>
    <t>ds LINC00628, us PP1R15B</t>
  </si>
  <si>
    <t>Break PIK3C2B</t>
  </si>
  <si>
    <t>PIK3C2B</t>
  </si>
  <si>
    <t>ds XIRP2, us STK39</t>
  </si>
  <si>
    <t>ds CDCA7, us SP3</t>
  </si>
  <si>
    <t>ds WIPF1, us CHRNA1</t>
  </si>
  <si>
    <t xml:space="preserve">Intronic INPP5D </t>
  </si>
  <si>
    <t>Break SLC6A18</t>
  </si>
  <si>
    <t>ds MTRR, us LINC02226</t>
  </si>
  <si>
    <t>SLC6A18</t>
  </si>
  <si>
    <t>Break CLPTM1L (23kb sd TERT)</t>
  </si>
  <si>
    <t>ds MARCH11, US LINC02150</t>
  </si>
  <si>
    <t>CLPTM1L, TERT</t>
  </si>
  <si>
    <t>ds LINC02226, us LINC02199</t>
  </si>
  <si>
    <t xml:space="preserve">Break CNOT6 </t>
  </si>
  <si>
    <t>CNOT6</t>
  </si>
  <si>
    <t xml:space="preserve">Break LINC02150, </t>
  </si>
  <si>
    <t>Break GFPT2</t>
  </si>
  <si>
    <t>GFPT2</t>
  </si>
  <si>
    <t>Break ZFR</t>
  </si>
  <si>
    <t>Break IL7R</t>
  </si>
  <si>
    <t>ZFR, IL7R</t>
  </si>
  <si>
    <t>ds ZFR, us SUB1</t>
  </si>
  <si>
    <t>ds FAM170A, us PRR16</t>
  </si>
  <si>
    <t>ds UGT3A2, us LMBRD2</t>
  </si>
  <si>
    <t>ds PDLIM4, us SLC22A4</t>
  </si>
  <si>
    <t>ds LINC02106, us ISL1</t>
  </si>
  <si>
    <t>ds ISL1 us LINC02118</t>
  </si>
  <si>
    <t>ds LINC02118, us PELO/ITGA1</t>
  </si>
  <si>
    <t>Break HOMER1</t>
  </si>
  <si>
    <t>HOMER1</t>
  </si>
  <si>
    <t>Break F2R</t>
  </si>
  <si>
    <t>ds LINC02227, us EBF1</t>
  </si>
  <si>
    <t>F2R</t>
  </si>
  <si>
    <t>ds EDIL3, us NBPF22P</t>
  </si>
  <si>
    <t>ds IGIP, us NR_130738</t>
  </si>
  <si>
    <t>ds NBPF22P, us COX7C</t>
  </si>
  <si>
    <t>Break CHD1</t>
  </si>
  <si>
    <t>CHD1</t>
  </si>
  <si>
    <t>intronic LMNB1</t>
  </si>
  <si>
    <t>ds HSPA4, us FSTL4</t>
  </si>
  <si>
    <t>Break LINC02227 (ds, CLINT1, us EBF1)</t>
  </si>
  <si>
    <t>LINC02227</t>
  </si>
  <si>
    <t>Break FSTL4</t>
  </si>
  <si>
    <t>ds SPARC, us ATOX1</t>
  </si>
  <si>
    <t>FSTL4</t>
  </si>
  <si>
    <t>Break PFDN1</t>
  </si>
  <si>
    <t>ds GNPDA1, us NDFIP1</t>
  </si>
  <si>
    <t>PFDN1</t>
  </si>
  <si>
    <t>Break LOC729080 (ds PTCH1, us KIAA0141)</t>
  </si>
  <si>
    <t>Break SLC36A1</t>
  </si>
  <si>
    <t>SLC36A1, LOC729080</t>
  </si>
  <si>
    <t>ds LINC00533, us LINC01623</t>
  </si>
  <si>
    <t>Break DENND2A</t>
  </si>
  <si>
    <t>ds DENND2A, us ADCK2</t>
  </si>
  <si>
    <t>DENND2A</t>
  </si>
  <si>
    <t>intronic NRXN3</t>
  </si>
  <si>
    <t>intronic BRF1/promotor PACS2</t>
  </si>
  <si>
    <t>ds NUP93, us SLC12A3</t>
  </si>
  <si>
    <t>ds RSPRY1, us ARL2BP</t>
  </si>
  <si>
    <t>Break PPP3CA</t>
  </si>
  <si>
    <t>PPP3CA</t>
  </si>
  <si>
    <t>Break ARID1B</t>
  </si>
  <si>
    <t>ARID1B</t>
  </si>
  <si>
    <t>Break AUTS2</t>
  </si>
  <si>
    <t>Break AKAP9</t>
  </si>
  <si>
    <t>Break ANKIB1</t>
  </si>
  <si>
    <t>AKAP9, ANKIB1</t>
  </si>
  <si>
    <t>Intronic ORC5</t>
  </si>
  <si>
    <t>ds C9orf72, us LINGO2</t>
  </si>
  <si>
    <t>ds FCHSD2, us P2RY2</t>
  </si>
  <si>
    <t>ds SEC14L6, us GAL3ST1</t>
  </si>
  <si>
    <t>ds ETNK1, us NR_120471</t>
  </si>
  <si>
    <t>DS ETNK1, us NR_120471</t>
  </si>
  <si>
    <t>Break ANKS1B</t>
  </si>
  <si>
    <t>Break UHRF1BP1L</t>
  </si>
  <si>
    <t>ANKS1B, UHRF1BP1L</t>
  </si>
  <si>
    <t>Break ACTN1</t>
  </si>
  <si>
    <t>ds ACTN1, us DACF5</t>
  </si>
  <si>
    <t>ACTN1</t>
  </si>
  <si>
    <t>Break CRHR1</t>
  </si>
  <si>
    <t>CRHR1</t>
  </si>
  <si>
    <t>Break SPAG9</t>
  </si>
  <si>
    <t>Break MBTD1</t>
  </si>
  <si>
    <t>SPAG9, MBTD1</t>
  </si>
  <si>
    <t>ds SATL1, us NR_110651</t>
  </si>
  <si>
    <t>ds SOX3, us LINC00632</t>
  </si>
  <si>
    <t>ds GPR157, us H6PD</t>
  </si>
  <si>
    <t>Break NMNAT1</t>
  </si>
  <si>
    <t>NMNAT1</t>
  </si>
  <si>
    <t>ds NBPF4, us NBPF6</t>
  </si>
  <si>
    <t>ds MYO1B,us NABP1</t>
  </si>
  <si>
    <t>Break KCNH1</t>
  </si>
  <si>
    <t xml:space="preserve">Break PRKD3 </t>
  </si>
  <si>
    <t>KCNH1,PRKD3</t>
  </si>
  <si>
    <t>Break PEBP4</t>
  </si>
  <si>
    <t>KCNH1, PEBP4</t>
  </si>
  <si>
    <t>Intronic ALK</t>
  </si>
  <si>
    <t>Intronic - ALK</t>
  </si>
  <si>
    <t>PRKD3, PEBP4</t>
  </si>
  <si>
    <t>ds KCNK12, us MSH6</t>
  </si>
  <si>
    <t>ds ADAM23, us LOC200726</t>
  </si>
  <si>
    <t>ds NR_144530, us NR110272</t>
  </si>
  <si>
    <t>Intronic SP110</t>
  </si>
  <si>
    <t>ds ARPP21, us STAC</t>
  </si>
  <si>
    <t>Break NEK11</t>
  </si>
  <si>
    <t>NEK11</t>
  </si>
  <si>
    <t>ds CACNA2D3, us WNT5A</t>
  </si>
  <si>
    <t>TERT</t>
  </si>
  <si>
    <t>Break DLG2</t>
  </si>
  <si>
    <t>DLG2</t>
  </si>
  <si>
    <t>Intronic CADM2</t>
  </si>
  <si>
    <t>ds  FOCL2NB, us PRRR23A</t>
  </si>
  <si>
    <t>ds LOC440982, us LINC02032</t>
  </si>
  <si>
    <t xml:space="preserve">Break ZNF595 </t>
  </si>
  <si>
    <t>Break DEPDC4</t>
  </si>
  <si>
    <t>ZNF595, DEPDC4</t>
  </si>
  <si>
    <t>intronic CD109</t>
  </si>
  <si>
    <t>Intronic CCDC146</t>
  </si>
  <si>
    <t>Break ELAVL2</t>
  </si>
  <si>
    <t>ELAVL2</t>
  </si>
  <si>
    <t>intronic ELAVL2</t>
  </si>
  <si>
    <t>ds PTAR1, us NR_038833</t>
  </si>
  <si>
    <t>Break NR_038833</t>
  </si>
  <si>
    <t xml:space="preserve"> NR_038833</t>
  </si>
  <si>
    <t>ds SPATA31D1, us RASEF</t>
  </si>
  <si>
    <t>ds CAVIN4, us PLPPR1</t>
  </si>
  <si>
    <t>Intronic FKBP15 (15bp from splice site)</t>
  </si>
  <si>
    <t xml:space="preserve">Intronic FKBP15 </t>
  </si>
  <si>
    <t>FKBP15</t>
  </si>
  <si>
    <t>Intronic AGPAT2</t>
  </si>
  <si>
    <t>ds INSC, us SOX6</t>
  </si>
  <si>
    <t>ds FOLR3, us FOLR1</t>
  </si>
  <si>
    <t>ds PHOX2A, us CLPB</t>
  </si>
  <si>
    <t>Break ASIC2</t>
  </si>
  <si>
    <t>ASIC2</t>
  </si>
  <si>
    <t>ds MVK,us FAM222A</t>
  </si>
  <si>
    <t>ds MVK, us FAM222</t>
  </si>
  <si>
    <t xml:space="preserve">Break FAM222 </t>
  </si>
  <si>
    <t>Break MED13L</t>
  </si>
  <si>
    <t>MED13L</t>
  </si>
  <si>
    <t>ds LINC02405, us LINC02376</t>
  </si>
  <si>
    <t>Intronic SULT2B1</t>
  </si>
  <si>
    <t>ds MYT1L, us LINC01250</t>
  </si>
  <si>
    <t>180kb ds MYT1L, us LINC01250</t>
  </si>
  <si>
    <t>ds LIMS1, us RANBP2</t>
  </si>
  <si>
    <t>ds PLEKHB2, us POTEE</t>
  </si>
  <si>
    <t>ds FSIP2, us LINC01473</t>
  </si>
  <si>
    <t>intronic FGF12</t>
  </si>
  <si>
    <t>Break FGF12</t>
  </si>
  <si>
    <t>FGF12</t>
  </si>
  <si>
    <t>Break ABCA11P</t>
  </si>
  <si>
    <t>Break PIGG</t>
  </si>
  <si>
    <t>ABCA11P, PIGG</t>
  </si>
  <si>
    <t>Intronic STPG2</t>
  </si>
  <si>
    <t>ds MAML3, us SCOC</t>
  </si>
  <si>
    <t>Break CLGN</t>
  </si>
  <si>
    <t>CLGN</t>
  </si>
  <si>
    <t>ds IPO11, us HTR1A</t>
  </si>
  <si>
    <t>ds OLIG3, us NR_125867</t>
  </si>
  <si>
    <t>Break ELMO</t>
  </si>
  <si>
    <t>ELMO</t>
  </si>
  <si>
    <t>ds THAP1, us RNF170</t>
  </si>
  <si>
    <t>Break FNTA</t>
  </si>
  <si>
    <t>FNTA</t>
  </si>
  <si>
    <t>ds LY6H, us GPIHBP1</t>
  </si>
  <si>
    <t>ds ZNF778, us ANKRD11</t>
  </si>
  <si>
    <t>Break ZFP41</t>
  </si>
  <si>
    <t>ds ZNF252P, us C8orf33</t>
  </si>
  <si>
    <t>ZFP41</t>
  </si>
  <si>
    <t>Break RUSC2</t>
  </si>
  <si>
    <t xml:space="preserve">Break RTBDN </t>
  </si>
  <si>
    <t>RUSC2, RTBDN</t>
  </si>
  <si>
    <t>Break SVEP1</t>
  </si>
  <si>
    <t>ds LPAR1, us OR2K2</t>
  </si>
  <si>
    <t>Break RELT</t>
  </si>
  <si>
    <t>ds FZD10, us PIWIL1</t>
  </si>
  <si>
    <t>RELT</t>
  </si>
  <si>
    <t>ds MIR3974, us RERGL</t>
  </si>
  <si>
    <t>ds TMEM117, us NELL2</t>
  </si>
  <si>
    <t>Break NELL2</t>
  </si>
  <si>
    <t>NELL2</t>
  </si>
  <si>
    <t>Break ANKRD26P3</t>
  </si>
  <si>
    <t>ANKRD26P3</t>
  </si>
  <si>
    <t>ds NKX2-8, us PAX9</t>
  </si>
  <si>
    <t>ds LINC01568, us PSMD7</t>
  </si>
  <si>
    <t>Break RPTOR</t>
  </si>
  <si>
    <t>RPTOR</t>
  </si>
  <si>
    <t>Break RPA1</t>
  </si>
  <si>
    <t>Break RTN4RL1</t>
  </si>
  <si>
    <t>RPA1, RTN4RL1</t>
  </si>
  <si>
    <t>Break CDK5RAP1</t>
  </si>
  <si>
    <t>Break SNTA1</t>
  </si>
  <si>
    <t>CDK5RAP1, SNTA1</t>
  </si>
  <si>
    <t>Intronic COL4A6</t>
  </si>
  <si>
    <t>ds SCAND1, us CNBD2</t>
  </si>
  <si>
    <t>ds COBL, us POM12L12</t>
  </si>
  <si>
    <t>ds VOPP1, us FKBP9P1</t>
  </si>
  <si>
    <t>ds FAM49A, us RAD51AP2</t>
  </si>
  <si>
    <t>MYCN-amp</t>
  </si>
  <si>
    <t>ds CLBP, us LINC01537</t>
  </si>
  <si>
    <t>Break TMEM99</t>
  </si>
  <si>
    <t>TMEM99</t>
  </si>
  <si>
    <t>HHIPL1 intronic</t>
  </si>
  <si>
    <t>ds LINC0841, us ADGRE5</t>
  </si>
  <si>
    <t>ds ADGRE2, us OR7C1</t>
  </si>
  <si>
    <t>SNCA intronic</t>
  </si>
  <si>
    <t>PTK2B intronic</t>
  </si>
  <si>
    <t>C8orf37_AS1 intronic</t>
  </si>
  <si>
    <t>ds DMRT2, us SMARCA2</t>
  </si>
  <si>
    <t>ds LINC01492, us NR_109803</t>
  </si>
  <si>
    <t>C10orf90 intronic</t>
  </si>
  <si>
    <t>Break C10orf90</t>
  </si>
  <si>
    <t>Break TMEM117</t>
  </si>
  <si>
    <t>C10orf90, TMEM117</t>
  </si>
  <si>
    <t>ds FBX033, us LINC02315</t>
  </si>
  <si>
    <t>Break LINC00661</t>
  </si>
  <si>
    <t>ds LINC00661, us LINC00905</t>
  </si>
  <si>
    <t xml:space="preserve"> LINC00661</t>
  </si>
  <si>
    <t>ds PRR32, us ACTRT1</t>
  </si>
  <si>
    <t>Break TARDBP</t>
  </si>
  <si>
    <t>Break EXOSC10</t>
  </si>
  <si>
    <t>TARDBP, EXOSC10</t>
  </si>
  <si>
    <t>ds GBP1P, us LRRC8B</t>
  </si>
  <si>
    <t>ds LRRC8C</t>
  </si>
  <si>
    <t>ds HFM1, us CDC7</t>
  </si>
  <si>
    <t>Break DPYD</t>
  </si>
  <si>
    <t>DPYD</t>
  </si>
  <si>
    <t>ds MAEL, us GPA33</t>
  </si>
  <si>
    <t>Break RABGAP1L</t>
  </si>
  <si>
    <t>RABGAP1L</t>
  </si>
  <si>
    <t>ds RGS7, us FH</t>
  </si>
  <si>
    <t>Break FH</t>
  </si>
  <si>
    <t>FH</t>
  </si>
  <si>
    <t>ds LIPN1, us TRIB2</t>
  </si>
  <si>
    <t>ds NM_001199104, us MIR4757</t>
  </si>
  <si>
    <t>Break ZNF660</t>
  </si>
  <si>
    <t>ds ZNF35, us ZNF501</t>
  </si>
  <si>
    <t>ZNF660</t>
  </si>
  <si>
    <t>ds GBE1, us LINC00971</t>
  </si>
  <si>
    <t>ds H1FX, us RPL32P3</t>
  </si>
  <si>
    <t>Break PLXND1</t>
  </si>
  <si>
    <t>PLXND1</t>
  </si>
  <si>
    <t>ds MGC2752</t>
  </si>
  <si>
    <t>ds DCUN1D4, us LRRC66</t>
  </si>
  <si>
    <t>Break USP46</t>
  </si>
  <si>
    <t>USP46</t>
  </si>
  <si>
    <t>Break DLGAP1</t>
  </si>
  <si>
    <t>CTNND2,  DLGAP1</t>
  </si>
  <si>
    <t>Break CT49</t>
  </si>
  <si>
    <t>CT49,  DLGAP1</t>
  </si>
  <si>
    <t>ds POT1, us GRM8</t>
  </si>
  <si>
    <t>Break DPP6</t>
  </si>
  <si>
    <t>DPP6</t>
  </si>
  <si>
    <t>Break GRM8</t>
  </si>
  <si>
    <t>Break DGKI</t>
  </si>
  <si>
    <t>GRM8,  DGKI</t>
  </si>
  <si>
    <t>GRM8,  DPP6</t>
  </si>
  <si>
    <t>Break CHRM2</t>
  </si>
  <si>
    <t>Break ZNF398</t>
  </si>
  <si>
    <t>CHRM2,  ZNF398</t>
  </si>
  <si>
    <t>CHRM2</t>
  </si>
  <si>
    <t>CHRM2,  DPP6</t>
  </si>
  <si>
    <t>ds PTN, us DGKI</t>
  </si>
  <si>
    <t>Break FAM115A</t>
  </si>
  <si>
    <t>FAM115A,  DPP6</t>
  </si>
  <si>
    <t>ds FAM115A, us OR2F2</t>
  </si>
  <si>
    <t>Break  CNTNAP2</t>
  </si>
  <si>
    <t>CNTNAP2,  DPP6</t>
  </si>
  <si>
    <t>ds SHH, us LOC285889</t>
  </si>
  <si>
    <t>ds KAT6A, us AP3M2</t>
  </si>
  <si>
    <t>Break IKBKB</t>
  </si>
  <si>
    <t>IKBKB</t>
  </si>
  <si>
    <t>ds FLJ41200, us LINC00583</t>
  </si>
  <si>
    <t xml:space="preserve">Break VAV2 </t>
  </si>
  <si>
    <t>ds BRD3, us WDR5</t>
  </si>
  <si>
    <t>VAV2</t>
  </si>
  <si>
    <t>ds AGPAT2us FAM69B</t>
  </si>
  <si>
    <t>ds PIM3, us IL17REL</t>
  </si>
  <si>
    <t>Break FAM69B</t>
  </si>
  <si>
    <t>FAM69B</t>
  </si>
  <si>
    <t>Break MYOF</t>
  </si>
  <si>
    <t>Break TFDP1</t>
  </si>
  <si>
    <t>TFDP1, MYOF</t>
  </si>
  <si>
    <t>ds LINC00571, us UFM1</t>
  </si>
  <si>
    <t>ds MNS1, us ZNF280D</t>
  </si>
  <si>
    <t>Break ZNF280D</t>
  </si>
  <si>
    <t>ZNF280D</t>
  </si>
  <si>
    <t>ds ARHGEF15, us ODF4</t>
  </si>
  <si>
    <t>Break NCAM2</t>
  </si>
  <si>
    <t>NCAM2</t>
  </si>
  <si>
    <t>ds GNA13, us RGS9</t>
  </si>
  <si>
    <t>ds RGS9, us AXIN2</t>
  </si>
  <si>
    <t>GNA13, RGS9</t>
  </si>
  <si>
    <t>ds LINC00470, us METTL4</t>
  </si>
  <si>
    <t xml:space="preserve">Break EMILIN2 </t>
  </si>
  <si>
    <t>EMILIN2</t>
  </si>
  <si>
    <t>Break EMILIN2</t>
  </si>
  <si>
    <t>EMILIN2, DLGAP1</t>
  </si>
  <si>
    <t>Break LPIN2</t>
  </si>
  <si>
    <t>ds MYL12B, us TGIF1</t>
  </si>
  <si>
    <t xml:space="preserve">LPIN2 </t>
  </si>
  <si>
    <t>Break PTPRM</t>
  </si>
  <si>
    <t xml:space="preserve">PTPRM </t>
  </si>
  <si>
    <t>Break CHODL</t>
  </si>
  <si>
    <t>ds TMPRSS15, us LINC00320</t>
  </si>
  <si>
    <t>Break TMPRSS15</t>
  </si>
  <si>
    <t>TMPRSS15</t>
  </si>
  <si>
    <t>Break MIR5009</t>
  </si>
  <si>
    <t>MIR5009</t>
  </si>
  <si>
    <t>Break AGPAT3</t>
  </si>
  <si>
    <t>AGPAT3</t>
  </si>
  <si>
    <t xml:space="preserve">Break UPB1 </t>
  </si>
  <si>
    <t>ds LRP5L, us CRYBB2P1</t>
  </si>
  <si>
    <t>UPB1</t>
  </si>
  <si>
    <t>ds FAM19A5, us NR_038944</t>
  </si>
  <si>
    <t>Break ACOT7</t>
  </si>
  <si>
    <t>ACOT7, KCNH1</t>
  </si>
  <si>
    <t>ds NCSTN, us NHLH1</t>
  </si>
  <si>
    <t>KCNH1</t>
  </si>
  <si>
    <t>Break ANKHD</t>
  </si>
  <si>
    <t>ANKHD</t>
  </si>
  <si>
    <t>ds LOC400794, us MGST3</t>
  </si>
  <si>
    <t>ds TMCO1, us UCK2</t>
  </si>
  <si>
    <t>Break LINC02388</t>
  </si>
  <si>
    <t>KCNH1, LINC02388</t>
  </si>
  <si>
    <t>ds SOX11, us LOC150622</t>
  </si>
  <si>
    <t>ds TRIB2, us LINC00276</t>
  </si>
  <si>
    <t>ds MIR4757, ds LINC00954</t>
  </si>
  <si>
    <t>ds AOPB, us LOC645949</t>
  </si>
  <si>
    <t>ds ZIC1, us AGTR1</t>
  </si>
  <si>
    <t>ds GPR149, us MME</t>
  </si>
  <si>
    <t>Break TP63</t>
  </si>
  <si>
    <t>ds TP63, us LEPREL1</t>
  </si>
  <si>
    <t>TP63</t>
  </si>
  <si>
    <t>Break SLBP</t>
  </si>
  <si>
    <t>Break FGFR3</t>
  </si>
  <si>
    <t>SLBP, FGFR3</t>
  </si>
  <si>
    <t>ds CTSO, us PDGFC</t>
  </si>
  <si>
    <t>Break PLEKGH4B</t>
  </si>
  <si>
    <t>ds LRRC10, us BEST3</t>
  </si>
  <si>
    <t xml:space="preserve">PLEKGH4B </t>
  </si>
  <si>
    <t>Break PDCD6</t>
  </si>
  <si>
    <t>Break YEATS4</t>
  </si>
  <si>
    <t>PDCD6,  YEATS4</t>
  </si>
  <si>
    <t>ds CTDSP2, us NR_038269</t>
  </si>
  <si>
    <t xml:space="preserve">PDCD6 </t>
  </si>
  <si>
    <t>PDCD6</t>
  </si>
  <si>
    <t>Break MDM2</t>
  </si>
  <si>
    <t xml:space="preserve">PDCD6, MDM2 </t>
  </si>
  <si>
    <t>Break CDH12</t>
  </si>
  <si>
    <t>ds CDH12, us PRDM9</t>
  </si>
  <si>
    <t>CDH12</t>
  </si>
  <si>
    <t>ds LOC64301, us LSP1P3</t>
  </si>
  <si>
    <t>ds ANHX</t>
  </si>
  <si>
    <t>ds FBN2, us SLC27A6</t>
  </si>
  <si>
    <t>ds FSTL4, us VDAC1</t>
  </si>
  <si>
    <t>ds AKIRIN2, us SPACA1</t>
  </si>
  <si>
    <t>Break KLHL32</t>
  </si>
  <si>
    <t>KLHL32</t>
  </si>
  <si>
    <t>ds GRIK2, us HACE1</t>
  </si>
  <si>
    <t>ds GNA13, us CD36</t>
  </si>
  <si>
    <t>ds OPCML, us SPATA19</t>
  </si>
  <si>
    <t>Break SEMA3C</t>
  </si>
  <si>
    <t>SEMA3C</t>
  </si>
  <si>
    <t>ds SLC35G5, us TDH</t>
  </si>
  <si>
    <t>Break GATA4</t>
  </si>
  <si>
    <t>GATA4</t>
  </si>
  <si>
    <t>HTRA4 Intronic</t>
  </si>
  <si>
    <t>Break MTBP</t>
  </si>
  <si>
    <t>ds FAM84B, us PCAT1</t>
  </si>
  <si>
    <t xml:space="preserve">MTBP </t>
  </si>
  <si>
    <t>ds SH3GL2, us ADAMTSL1</t>
  </si>
  <si>
    <t>Break ADARB2</t>
  </si>
  <si>
    <t>ds ADARBP2, us LINC00700</t>
  </si>
  <si>
    <t>ADARB2</t>
  </si>
  <si>
    <t>Break TMEM126B</t>
  </si>
  <si>
    <t>Break SYTL2</t>
  </si>
  <si>
    <t>TMEM126B, SYTL2</t>
  </si>
  <si>
    <t>Break CNTN5</t>
  </si>
  <si>
    <t>CNTN5</t>
  </si>
  <si>
    <t>Break OPCML</t>
  </si>
  <si>
    <t>OPCML</t>
  </si>
  <si>
    <t>ds LINC00662, us LNR_110759</t>
  </si>
  <si>
    <t>ds SLITRK6, us MIR4500HG</t>
  </si>
  <si>
    <t>ds LINC00514, us CLDN9</t>
  </si>
  <si>
    <t>Break NAA60</t>
  </si>
  <si>
    <t>NAA60</t>
  </si>
  <si>
    <t>Break CNOT1</t>
  </si>
  <si>
    <t>ds LINC00662, us LINC00906</t>
  </si>
  <si>
    <t xml:space="preserve">CNOT1 </t>
  </si>
  <si>
    <t>Break SLC38A7</t>
  </si>
  <si>
    <t>SLC38A7</t>
  </si>
  <si>
    <t>Break MYO5B</t>
  </si>
  <si>
    <t>Break MAPK4</t>
  </si>
  <si>
    <t>MAPK4, MYO5B</t>
  </si>
  <si>
    <t>ds RLIM, us NEXMIF</t>
  </si>
  <si>
    <t>ds POU3F, us LOC339442</t>
  </si>
  <si>
    <t>ds LOC339442, us RRAGC</t>
  </si>
  <si>
    <t>Break MIR181A1HG</t>
  </si>
  <si>
    <t>MIR181A1HG</t>
  </si>
  <si>
    <t>Break MYT1L</t>
  </si>
  <si>
    <t>MYT1L</t>
  </si>
  <si>
    <t>ds MYCN, us FAM49A</t>
  </si>
  <si>
    <t>ds CWC22, us UBE2E3</t>
  </si>
  <si>
    <t>ds PDHB, us KCTD6</t>
  </si>
  <si>
    <t>Break CNTN4</t>
  </si>
  <si>
    <t xml:space="preserve">CNTN4 </t>
  </si>
  <si>
    <t>ds ZBTB20, us GAP43</t>
  </si>
  <si>
    <t>Break LSAMP</t>
  </si>
  <si>
    <t>LSAMP</t>
  </si>
  <si>
    <t>ds GBA3, us MIR548AJ2</t>
  </si>
  <si>
    <t>ds MIR548AJ2, us PPARGC1A</t>
  </si>
  <si>
    <t>Break MIR548AJ2</t>
  </si>
  <si>
    <t>MIR548AJ2</t>
  </si>
  <si>
    <t>Break PPARGC1A</t>
  </si>
  <si>
    <t>PPARGC1A</t>
  </si>
  <si>
    <t>IGFBP7 intronic</t>
  </si>
  <si>
    <t xml:space="preserve">Break SLIT3 </t>
  </si>
  <si>
    <t>SLIT3</t>
  </si>
  <si>
    <t>ds NR_110856, us COL12A1</t>
  </si>
  <si>
    <t>ds RFPL4B, us MARCKS</t>
  </si>
  <si>
    <t>ds EZH2, us PDIA4</t>
  </si>
  <si>
    <t>Break PDIA4</t>
  </si>
  <si>
    <t>PDIA4</t>
  </si>
  <si>
    <t>Break RBM33</t>
  </si>
  <si>
    <t>ds RBM33, us SHH</t>
  </si>
  <si>
    <t xml:space="preserve">RBM33 </t>
  </si>
  <si>
    <t>ds ESRP1, us DPY19L4</t>
  </si>
  <si>
    <t>Break DPY19L4</t>
  </si>
  <si>
    <t>DPY19L4</t>
  </si>
  <si>
    <t>ds LURAP1L, us MPDZ</t>
  </si>
  <si>
    <t xml:space="preserve">DUP </t>
  </si>
  <si>
    <t>ds SHB, us ALDH1B1</t>
  </si>
  <si>
    <t>CELF2 intronic</t>
  </si>
  <si>
    <t>Break KDM2A</t>
  </si>
  <si>
    <t>KDM2A</t>
  </si>
  <si>
    <t>ds RDX, us FDX1</t>
  </si>
  <si>
    <t>ds STXBP6, us NOVA1</t>
  </si>
  <si>
    <t>ds MRPS31P5, us LINC02333</t>
  </si>
  <si>
    <t>Break TPTE2P3</t>
  </si>
  <si>
    <t>TPTE2P3</t>
  </si>
  <si>
    <t>Break TJP1</t>
  </si>
  <si>
    <t>TJP1</t>
  </si>
  <si>
    <t>us MIR4522</t>
  </si>
  <si>
    <t>ds KRT24, us KRT25</t>
  </si>
  <si>
    <t>us ROCK1P1</t>
  </si>
  <si>
    <t>ds FBXO17, us FBXO27</t>
  </si>
  <si>
    <t>ds FBXO27, us PAPL</t>
  </si>
  <si>
    <t>ds GRIK1, us CLDN17</t>
  </si>
  <si>
    <t>ds CLDN17, us LINC00307</t>
  </si>
  <si>
    <t>ds TUG1, us SMTN</t>
  </si>
  <si>
    <t>Break SHROOM4</t>
  </si>
  <si>
    <t>ds BMP15, us NUDT10</t>
  </si>
  <si>
    <t>SHROOM4</t>
  </si>
  <si>
    <t>Break AGMO</t>
  </si>
  <si>
    <t>ds MEOX2, us ISPD</t>
  </si>
  <si>
    <t>AGMO</t>
  </si>
  <si>
    <t>XYLT1 intronic</t>
  </si>
  <si>
    <t>Break VIT</t>
  </si>
  <si>
    <t>Break STIM1</t>
  </si>
  <si>
    <t>VIT, STIM1</t>
  </si>
  <si>
    <t>Break PLEKHH2</t>
  </si>
  <si>
    <t>ds KRTAP5-11, us FAM86C1</t>
  </si>
  <si>
    <t>PLEKHH2</t>
  </si>
  <si>
    <t>Break RAB6C-AS1</t>
  </si>
  <si>
    <t>ds TAS2R42, us PRB3</t>
  </si>
  <si>
    <t>RAB6C-AS1</t>
  </si>
  <si>
    <t>Break MAGI1</t>
  </si>
  <si>
    <t>MAGI1, UBTF</t>
  </si>
  <si>
    <t>ds PSMD2, us EIF4G1</t>
  </si>
  <si>
    <t>ds DDX6, us CXCR5</t>
  </si>
  <si>
    <t>ds CHRD, us EPHB3</t>
  </si>
  <si>
    <t>Break DDX6</t>
  </si>
  <si>
    <t>DDX6</t>
  </si>
  <si>
    <t>ds ENAH, us SRP9</t>
  </si>
  <si>
    <t>ds TRIB2, us FAM84A</t>
  </si>
  <si>
    <t>Break AGTPBP1</t>
  </si>
  <si>
    <t>AGTPBP1</t>
  </si>
  <si>
    <t>Break METTL8</t>
  </si>
  <si>
    <t>Break BMPR2</t>
  </si>
  <si>
    <t>METTL8, BMPR2</t>
  </si>
  <si>
    <t>KCNH8 intronic</t>
  </si>
  <si>
    <t>ds GAP43, us LSAMP</t>
  </si>
  <si>
    <t>ds LSAMP, us TUSC7</t>
  </si>
  <si>
    <t>ds TERT, us CLPTM1L</t>
  </si>
  <si>
    <t>ds KCNU1, us ZNF703</t>
  </si>
  <si>
    <t>ds CMYA, us LINC01455</t>
  </si>
  <si>
    <t>ds NR_134625, us SNRPC</t>
  </si>
  <si>
    <t>Break SNRPC</t>
  </si>
  <si>
    <t>SNRPC</t>
  </si>
  <si>
    <t>ds PRIM2, us GUSBP4</t>
  </si>
  <si>
    <t>ds GUSBP4, us KHDRBS2</t>
  </si>
  <si>
    <t>ds BACH1, us GRIK1</t>
  </si>
  <si>
    <t>Break ATG5</t>
  </si>
  <si>
    <t>ds ATG5, us AIM1</t>
  </si>
  <si>
    <t>ATG5</t>
  </si>
  <si>
    <t>Break CSMD3</t>
  </si>
  <si>
    <t>CSMD3</t>
  </si>
  <si>
    <t>ds TFEC, us TES</t>
  </si>
  <si>
    <t>CSMD1 intronic</t>
  </si>
  <si>
    <t>YME1L1 intronic</t>
  </si>
  <si>
    <t>Break OR51B5</t>
  </si>
  <si>
    <t>ds OR52H1, us OR53B6</t>
  </si>
  <si>
    <t>OR51B5</t>
  </si>
  <si>
    <t>ds MS4A6A, us MS4A4A</t>
  </si>
  <si>
    <t>Break MTL5</t>
  </si>
  <si>
    <t>MTL5</t>
  </si>
  <si>
    <t>Break PPFIA1</t>
  </si>
  <si>
    <t>Break SHANK2</t>
  </si>
  <si>
    <t>PPFIA1, SHANK2</t>
  </si>
  <si>
    <t>PPFIA1</t>
  </si>
  <si>
    <t>MIPOL1 intronic</t>
  </si>
  <si>
    <t>Break ERO1L</t>
  </si>
  <si>
    <t>ERO1L</t>
  </si>
  <si>
    <t>Break CDC42BPB</t>
  </si>
  <si>
    <t>ds CDC42BPB, us NB_001330236</t>
  </si>
  <si>
    <t>CDC42BPB</t>
  </si>
  <si>
    <t>Break ZFHX3</t>
  </si>
  <si>
    <t>Break C16orf47</t>
  </si>
  <si>
    <t>ZFHX3, C16orf47</t>
  </si>
  <si>
    <t>Break KRT34</t>
  </si>
  <si>
    <t>KRT34</t>
  </si>
  <si>
    <t>ds MAPRE2, us ZNF397</t>
  </si>
  <si>
    <t>Break PLPP2</t>
  </si>
  <si>
    <t>Break BISPR, MVB12A</t>
  </si>
  <si>
    <t>PLPP2, BISPR, MVB12A</t>
  </si>
  <si>
    <t>Break BISPR</t>
  </si>
  <si>
    <t>Break NR_110759</t>
  </si>
  <si>
    <t>BISPR, NR_110759</t>
  </si>
  <si>
    <t>MICAL3 intronic</t>
  </si>
  <si>
    <t>MYCL</t>
  </si>
  <si>
    <t>CTNNB1</t>
  </si>
  <si>
    <t>IL6ST</t>
  </si>
  <si>
    <t>CNTRL</t>
  </si>
  <si>
    <t>TSHR</t>
  </si>
  <si>
    <t>TRIP11</t>
  </si>
  <si>
    <t>HERPUD1</t>
  </si>
  <si>
    <t>missense; synonymous</t>
  </si>
  <si>
    <t>MAP2K4</t>
  </si>
  <si>
    <t>TYK2</t>
  </si>
  <si>
    <t>RHPN2</t>
  </si>
  <si>
    <t>ABL2</t>
  </si>
  <si>
    <t>CASP10</t>
  </si>
  <si>
    <t>HIP1</t>
  </si>
  <si>
    <t>NUP98</t>
  </si>
  <si>
    <t>SNX29</t>
  </si>
  <si>
    <t>NF1</t>
  </si>
  <si>
    <t>LAMA5</t>
  </si>
  <si>
    <t>FAM46C</t>
  </si>
  <si>
    <t>SRGAP3</t>
  </si>
  <si>
    <t>KDR</t>
  </si>
  <si>
    <t>NSD1</t>
  </si>
  <si>
    <t>DEK</t>
  </si>
  <si>
    <t>EXT1</t>
  </si>
  <si>
    <t>PAX5</t>
  </si>
  <si>
    <t>HMGA2</t>
  </si>
  <si>
    <t>BRCA2</t>
  </si>
  <si>
    <t>CDH11</t>
  </si>
  <si>
    <t>RNF213</t>
  </si>
  <si>
    <t>KDSR</t>
  </si>
  <si>
    <t>CHEK2</t>
  </si>
  <si>
    <t>MKL1</t>
  </si>
  <si>
    <t>EP300</t>
  </si>
  <si>
    <t>p23.2</t>
  </si>
  <si>
    <t>ALK</t>
  </si>
  <si>
    <t>BARD1</t>
  </si>
  <si>
    <t>AFF1</t>
  </si>
  <si>
    <t>KMT2C</t>
  </si>
  <si>
    <t>FOXO1</t>
  </si>
  <si>
    <t>ERBB2</t>
  </si>
  <si>
    <t>POLD1</t>
  </si>
  <si>
    <t>SFPQ</t>
  </si>
  <si>
    <t>PDE4DIP</t>
  </si>
  <si>
    <t>p16.1</t>
  </si>
  <si>
    <t>REL</t>
  </si>
  <si>
    <t>LIFR</t>
  </si>
  <si>
    <t>FGFR1OP</t>
  </si>
  <si>
    <t>KMT2D</t>
  </si>
  <si>
    <t>FANCM</t>
  </si>
  <si>
    <t>SPRED1</t>
  </si>
  <si>
    <t>ZNF521</t>
  </si>
  <si>
    <t>LPP</t>
  </si>
  <si>
    <t>ACSL6</t>
  </si>
  <si>
    <t>EBF1</t>
  </si>
  <si>
    <t>GNAS</t>
  </si>
  <si>
    <t>CCND1</t>
  </si>
  <si>
    <t>CDK4</t>
  </si>
  <si>
    <t>MDM2</t>
  </si>
  <si>
    <t>ds PPCDC, us C15orf39</t>
  </si>
  <si>
    <t>Occurence</t>
  </si>
  <si>
    <t>ID</t>
  </si>
  <si>
    <t>ds ARL4A, us ETV1</t>
  </si>
  <si>
    <t>Break SLC6A3 (150kb ds TERT)</t>
  </si>
  <si>
    <t>Genes affected by SV</t>
  </si>
  <si>
    <t xml:space="preserve"> SLC6A3, TERT</t>
  </si>
  <si>
    <t>ds CLPTM1L and TERT, us SLC6A3</t>
  </si>
  <si>
    <t>ds VEGFC, us NEIL3</t>
  </si>
  <si>
    <t>ZNF749</t>
  </si>
  <si>
    <t>Adjusted P-value</t>
  </si>
  <si>
    <t>5/41</t>
  </si>
  <si>
    <t>CCND1;CDK4;MDM2;KRAS;FGFR3</t>
  </si>
  <si>
    <t>7/88</t>
  </si>
  <si>
    <t>RPTOR;EHMT2;KRAS;ADCY8;PPARGC1A;ATG5;ADCY5</t>
  </si>
  <si>
    <t>ABCC2;ABCB1;ADCY8;SLC4A5;SLC27A5;ADCY5</t>
  </si>
  <si>
    <t>4/47</t>
  </si>
  <si>
    <t>PCNA;ERCC2;RPA1;POLE</t>
  </si>
  <si>
    <t>8/114</t>
  </si>
  <si>
    <t>GRIN3A;HOMER1;GNG7;CACNA1D;DLGAP1;ADCY8;SHANK2;ADCY5</t>
  </si>
  <si>
    <t>GNG7;PRKG2;CACNA1D;ADCY8;ADCY5</t>
  </si>
  <si>
    <t>3/36</t>
  </si>
  <si>
    <t>PCNA;RPA1;POLE</t>
  </si>
  <si>
    <t>3/41</t>
  </si>
  <si>
    <t>CCND1;MDM2;KRAS</t>
  </si>
  <si>
    <t>DPYS;DPYD;ENPP3;UPB1</t>
  </si>
  <si>
    <t>4/31</t>
  </si>
  <si>
    <t>GNA13;PPP3CA;KCNU1;CREB1;INSR;ATP2B4;GATA4;ADRA2B</t>
  </si>
  <si>
    <t>MAGI1;CSF1R;PRKD3;INSR;ITGA2B;FGFR3;MET;VAV2;FGF4</t>
  </si>
  <si>
    <t>CCND1;CDK4;MDM2;MET;FGF4</t>
  </si>
  <si>
    <t>4/41</t>
  </si>
  <si>
    <t>CCND1;CDK4;MDM2;FGFR3</t>
  </si>
  <si>
    <t>SET</t>
  </si>
  <si>
    <t>5/91</t>
  </si>
  <si>
    <t>FGFR3</t>
  </si>
  <si>
    <t>MET</t>
  </si>
  <si>
    <t>APC</t>
  </si>
  <si>
    <t>BAP1</t>
  </si>
  <si>
    <t>BMPR1A</t>
  </si>
  <si>
    <t>BRAF</t>
  </si>
  <si>
    <t>CBL</t>
  </si>
  <si>
    <t>CDC73</t>
  </si>
  <si>
    <t>CDH1</t>
  </si>
  <si>
    <t>CDKN1C</t>
  </si>
  <si>
    <t>CDKN2A</t>
  </si>
  <si>
    <t>DICER1</t>
  </si>
  <si>
    <t>EPCAM</t>
  </si>
  <si>
    <t>GATA2</t>
  </si>
  <si>
    <t>HRAS</t>
  </si>
  <si>
    <t>MAP2K1</t>
  </si>
  <si>
    <t>MAP2K2</t>
  </si>
  <si>
    <t>MAX</t>
  </si>
  <si>
    <t>MEN1</t>
  </si>
  <si>
    <t>MLH1</t>
  </si>
  <si>
    <t>MSH2</t>
  </si>
  <si>
    <t>MSH6</t>
  </si>
  <si>
    <t>NF2</t>
  </si>
  <si>
    <t>NRAS</t>
  </si>
  <si>
    <t>PALB2</t>
  </si>
  <si>
    <t>PMS2</t>
  </si>
  <si>
    <t>PRKAR1A</t>
  </si>
  <si>
    <t>PTCH1</t>
  </si>
  <si>
    <t>PTEN</t>
  </si>
  <si>
    <t>PTPN11</t>
  </si>
  <si>
    <t>RAF1</t>
  </si>
  <si>
    <t>RB1</t>
  </si>
  <si>
    <t>RET</t>
  </si>
  <si>
    <t>RUNX1</t>
  </si>
  <si>
    <t>SDHA</t>
  </si>
  <si>
    <t>SDHAF2</t>
  </si>
  <si>
    <t>SDHB</t>
  </si>
  <si>
    <t>SDHC</t>
  </si>
  <si>
    <t>SDHD</t>
  </si>
  <si>
    <t>SHOC2</t>
  </si>
  <si>
    <t>SMAD4</t>
  </si>
  <si>
    <t>SMARCA4</t>
  </si>
  <si>
    <t>SMARCB1</t>
  </si>
  <si>
    <t>SOS1</t>
  </si>
  <si>
    <t>STK11</t>
  </si>
  <si>
    <t>SUFU</t>
  </si>
  <si>
    <t>TMEM127</t>
  </si>
  <si>
    <t>TP53</t>
  </si>
  <si>
    <t>TSC1</t>
  </si>
  <si>
    <t>TSC2</t>
  </si>
  <si>
    <t>VHL</t>
  </si>
  <si>
    <t>WT1</t>
  </si>
  <si>
    <t>ATM</t>
  </si>
  <si>
    <t>BLM</t>
  </si>
  <si>
    <t>BRIP1</t>
  </si>
  <si>
    <t>DDB2</t>
  </si>
  <si>
    <t>ERCC1</t>
  </si>
  <si>
    <t>ERCC3</t>
  </si>
  <si>
    <t>ERCC4</t>
  </si>
  <si>
    <t>ERCC5</t>
  </si>
  <si>
    <t>FANCA</t>
  </si>
  <si>
    <t>FANCC</t>
  </si>
  <si>
    <t>FANCD2</t>
  </si>
  <si>
    <t>FANCE</t>
  </si>
  <si>
    <t>FANCF</t>
  </si>
  <si>
    <t>FANCG</t>
  </si>
  <si>
    <t>FANCI</t>
  </si>
  <si>
    <t>FANCL</t>
  </si>
  <si>
    <t>MUTYH</t>
  </si>
  <si>
    <t>NBN</t>
  </si>
  <si>
    <t>NHP2</t>
  </si>
  <si>
    <t>NOP10</t>
  </si>
  <si>
    <t>RAD51C</t>
  </si>
  <si>
    <t>RECQL4</t>
  </si>
  <si>
    <t>SH2B3</t>
  </si>
  <si>
    <t>XPA</t>
  </si>
  <si>
    <t>XPC</t>
  </si>
  <si>
    <t>ARHGEF12</t>
  </si>
  <si>
    <t>ASXL1</t>
  </si>
  <si>
    <t>AXIN2</t>
  </si>
  <si>
    <t>BCL10</t>
  </si>
  <si>
    <t>BCR</t>
  </si>
  <si>
    <t>BUB1B</t>
  </si>
  <si>
    <t>CASP8</t>
  </si>
  <si>
    <t>CBFA2T3</t>
  </si>
  <si>
    <t>CDKN1A</t>
  </si>
  <si>
    <t>CDKN2C</t>
  </si>
  <si>
    <t>CREBBP</t>
  </si>
  <si>
    <t>ETV6</t>
  </si>
  <si>
    <t>EXT2</t>
  </si>
  <si>
    <t>FBXW7</t>
  </si>
  <si>
    <t>FHIT</t>
  </si>
  <si>
    <t>FLCN</t>
  </si>
  <si>
    <t>FOXO3</t>
  </si>
  <si>
    <t>FOXO4</t>
  </si>
  <si>
    <t>GPC3</t>
  </si>
  <si>
    <t>HOXB13</t>
  </si>
  <si>
    <t>IDH1</t>
  </si>
  <si>
    <t>KLF6</t>
  </si>
  <si>
    <t>LRIG3</t>
  </si>
  <si>
    <t>MAF</t>
  </si>
  <si>
    <t>MAFB</t>
  </si>
  <si>
    <t>MN1</t>
  </si>
  <si>
    <t>MUC1</t>
  </si>
  <si>
    <t>NCOA4</t>
  </si>
  <si>
    <t>NDRG1</t>
  </si>
  <si>
    <t>NOTCH1</t>
  </si>
  <si>
    <t>NR4A3</t>
  </si>
  <si>
    <t>PBRM1</t>
  </si>
  <si>
    <t>PML</t>
  </si>
  <si>
    <t>PMS1</t>
  </si>
  <si>
    <t>PRDM1</t>
  </si>
  <si>
    <t>SMO</t>
  </si>
  <si>
    <t>SOCS1</t>
  </si>
  <si>
    <t>SYK</t>
  </si>
  <si>
    <t>TCF7L2</t>
  </si>
  <si>
    <t>TET2</t>
  </si>
  <si>
    <t>TFE3</t>
  </si>
  <si>
    <t>TNFAIP3</t>
  </si>
  <si>
    <t>TRIM24</t>
  </si>
  <si>
    <t>WIF1</t>
  </si>
  <si>
    <t>ZBTB16</t>
  </si>
  <si>
    <t>ABL1</t>
  </si>
  <si>
    <t>BTK</t>
  </si>
  <si>
    <t>EGFR</t>
  </si>
  <si>
    <t>FGFR2</t>
  </si>
  <si>
    <t>FLT3</t>
  </si>
  <si>
    <t>ITK</t>
  </si>
  <si>
    <t>JAK1</t>
  </si>
  <si>
    <t>JAK2</t>
  </si>
  <si>
    <t>JAK3</t>
  </si>
  <si>
    <t>KIT</t>
  </si>
  <si>
    <t>LCK</t>
  </si>
  <si>
    <t>NTRK1</t>
  </si>
  <si>
    <t>NTRK3</t>
  </si>
  <si>
    <t>PDGFRA</t>
  </si>
  <si>
    <t>PDGFRB</t>
  </si>
  <si>
    <t>ROS1</t>
  </si>
  <si>
    <t>ABCA4</t>
  </si>
  <si>
    <t>ABCD1</t>
  </si>
  <si>
    <t>ABI1</t>
  </si>
  <si>
    <t>ACKR3</t>
  </si>
  <si>
    <t>ACSL3</t>
  </si>
  <si>
    <t>AFF3</t>
  </si>
  <si>
    <t>AFF4</t>
  </si>
  <si>
    <t>AKAP9</t>
  </si>
  <si>
    <t>AKT1</t>
  </si>
  <si>
    <t>AKT2</t>
  </si>
  <si>
    <t>ALDH2</t>
  </si>
  <si>
    <t>AMER1</t>
  </si>
  <si>
    <t>ARHGAP26</t>
  </si>
  <si>
    <t>ARID5B</t>
  </si>
  <si>
    <t>ARNT</t>
  </si>
  <si>
    <t>ASPSCR1</t>
  </si>
  <si>
    <t>ATIC</t>
  </si>
  <si>
    <t>BCL11A</t>
  </si>
  <si>
    <t>BCL11B</t>
  </si>
  <si>
    <t>BCL2</t>
  </si>
  <si>
    <t>BCL3</t>
  </si>
  <si>
    <t>BCL6</t>
  </si>
  <si>
    <t>BCL7A</t>
  </si>
  <si>
    <t>BCL9</t>
  </si>
  <si>
    <t>BCOR</t>
  </si>
  <si>
    <t>BIRC3</t>
  </si>
  <si>
    <t>BMP4</t>
  </si>
  <si>
    <t>BRD3</t>
  </si>
  <si>
    <t>BRD4</t>
  </si>
  <si>
    <t>BTG1</t>
  </si>
  <si>
    <t>C2orf44</t>
  </si>
  <si>
    <t>CANT1</t>
  </si>
  <si>
    <t>CARD11</t>
  </si>
  <si>
    <t>CARS</t>
  </si>
  <si>
    <t>CASC5</t>
  </si>
  <si>
    <t>CBFB</t>
  </si>
  <si>
    <t>CBLB</t>
  </si>
  <si>
    <t>CBLC</t>
  </si>
  <si>
    <t>CCDC6</t>
  </si>
  <si>
    <t>CCNB1IP1</t>
  </si>
  <si>
    <t>CCND2</t>
  </si>
  <si>
    <t>CCND3</t>
  </si>
  <si>
    <t>CCNE1</t>
  </si>
  <si>
    <t>CD274</t>
  </si>
  <si>
    <t>CD74</t>
  </si>
  <si>
    <t>CD79A</t>
  </si>
  <si>
    <t>CD79B</t>
  </si>
  <si>
    <t>CDC25A</t>
  </si>
  <si>
    <t>CDK12</t>
  </si>
  <si>
    <t>CDK6</t>
  </si>
  <si>
    <t>CDX2</t>
  </si>
  <si>
    <t>CHCHD7</t>
  </si>
  <si>
    <t>CHIC2</t>
  </si>
  <si>
    <t>CHN1</t>
  </si>
  <si>
    <t>CIC</t>
  </si>
  <si>
    <t>CIITA</t>
  </si>
  <si>
    <t>CLP1</t>
  </si>
  <si>
    <t>CLTC</t>
  </si>
  <si>
    <t>CLTCL1</t>
  </si>
  <si>
    <t>CNBP</t>
  </si>
  <si>
    <t>COL1A1</t>
  </si>
  <si>
    <t>COLCA2</t>
  </si>
  <si>
    <t>COX6C</t>
  </si>
  <si>
    <t>CREB3L1</t>
  </si>
  <si>
    <t>CREB3L2</t>
  </si>
  <si>
    <t>CRLF2</t>
  </si>
  <si>
    <t>CRTC1</t>
  </si>
  <si>
    <t>CRTC3</t>
  </si>
  <si>
    <t>DAXX</t>
  </si>
  <si>
    <t>DDIT3</t>
  </si>
  <si>
    <t>DDX10</t>
  </si>
  <si>
    <t>DDX5</t>
  </si>
  <si>
    <t>DIP2B</t>
  </si>
  <si>
    <t>DIS3L2</t>
  </si>
  <si>
    <t>DKC1</t>
  </si>
  <si>
    <t>DNM2</t>
  </si>
  <si>
    <t>DNMT3A</t>
  </si>
  <si>
    <t>DUSP10</t>
  </si>
  <si>
    <t>DUX4L1</t>
  </si>
  <si>
    <t>ECT2L</t>
  </si>
  <si>
    <t>EIF3H</t>
  </si>
  <si>
    <t>EIF4A2</t>
  </si>
  <si>
    <t>ELANE</t>
  </si>
  <si>
    <t>ELF4</t>
  </si>
  <si>
    <t>ELK4</t>
  </si>
  <si>
    <t>ELL</t>
  </si>
  <si>
    <t>ELN</t>
  </si>
  <si>
    <t>EML4</t>
  </si>
  <si>
    <t>EPS15</t>
  </si>
  <si>
    <t>ERG</t>
  </si>
  <si>
    <t>ETV1</t>
  </si>
  <si>
    <t>ETV4</t>
  </si>
  <si>
    <t>ETV5</t>
  </si>
  <si>
    <t>EWSR1</t>
  </si>
  <si>
    <t>EZH2</t>
  </si>
  <si>
    <t>EZR</t>
  </si>
  <si>
    <t>FAM175A</t>
  </si>
  <si>
    <t>FANCB</t>
  </si>
  <si>
    <t>FAP</t>
  </si>
  <si>
    <t>FBXO11</t>
  </si>
  <si>
    <t>FCGR2B</t>
  </si>
  <si>
    <t>FCRL4</t>
  </si>
  <si>
    <t>FEV</t>
  </si>
  <si>
    <t>FIP1L1</t>
  </si>
  <si>
    <t>FLI1</t>
  </si>
  <si>
    <t>FLNA</t>
  </si>
  <si>
    <t>FNBP1</t>
  </si>
  <si>
    <t>FOXL2</t>
  </si>
  <si>
    <t>FRG1</t>
  </si>
  <si>
    <t>FRG2</t>
  </si>
  <si>
    <t>FSTL3</t>
  </si>
  <si>
    <t>FUBP1</t>
  </si>
  <si>
    <t>FUS</t>
  </si>
  <si>
    <t>G6PC3</t>
  </si>
  <si>
    <t>GAR1</t>
  </si>
  <si>
    <t>GAS7</t>
  </si>
  <si>
    <t>GATA1</t>
  </si>
  <si>
    <t>GATA3</t>
  </si>
  <si>
    <t>GNA11</t>
  </si>
  <si>
    <t>GNAQ</t>
  </si>
  <si>
    <t>GOLGA5</t>
  </si>
  <si>
    <t>GOPC</t>
  </si>
  <si>
    <t>GPHN</t>
  </si>
  <si>
    <t>GREM1</t>
  </si>
  <si>
    <t>HAX1</t>
  </si>
  <si>
    <t>HEY1</t>
  </si>
  <si>
    <t>HIST1H4I</t>
  </si>
  <si>
    <t>HLF</t>
  </si>
  <si>
    <t>HMGA1</t>
  </si>
  <si>
    <t>HMGN2P46</t>
  </si>
  <si>
    <t>HNRNPA2B1</t>
  </si>
  <si>
    <t>HOOK3</t>
  </si>
  <si>
    <t>HOXA11</t>
  </si>
  <si>
    <t>HOXA13</t>
  </si>
  <si>
    <t>HOXA9</t>
  </si>
  <si>
    <t>HOXC11</t>
  </si>
  <si>
    <t>HOXC13</t>
  </si>
  <si>
    <t>HOXD11</t>
  </si>
  <si>
    <t>HOXD13</t>
  </si>
  <si>
    <t>HSP90AA1</t>
  </si>
  <si>
    <t>HSP90AB1</t>
  </si>
  <si>
    <t>IDH2</t>
  </si>
  <si>
    <t>IGH</t>
  </si>
  <si>
    <t>IGK</t>
  </si>
  <si>
    <t>IGL</t>
  </si>
  <si>
    <t>IKZF1</t>
  </si>
  <si>
    <t>IL2</t>
  </si>
  <si>
    <t>IL21R</t>
  </si>
  <si>
    <t>IL7R</t>
  </si>
  <si>
    <t>IRF4</t>
  </si>
  <si>
    <t>JAZF1</t>
  </si>
  <si>
    <t>JUN</t>
  </si>
  <si>
    <t>KAT6A</t>
  </si>
  <si>
    <t>KAT6B</t>
  </si>
  <si>
    <t>KDM5A</t>
  </si>
  <si>
    <t>KDM5C</t>
  </si>
  <si>
    <t>KDM6A</t>
  </si>
  <si>
    <t>KIF5B</t>
  </si>
  <si>
    <t>KLK2</t>
  </si>
  <si>
    <t>KMT2A</t>
  </si>
  <si>
    <t>LASP1</t>
  </si>
  <si>
    <t>LCP1</t>
  </si>
  <si>
    <t>LHFP</t>
  </si>
  <si>
    <t>LMO1</t>
  </si>
  <si>
    <t>LMO2</t>
  </si>
  <si>
    <t>LYL1</t>
  </si>
  <si>
    <t>MALAT1</t>
  </si>
  <si>
    <t>MALT1</t>
  </si>
  <si>
    <t>MAML2</t>
  </si>
  <si>
    <t>MDM4</t>
  </si>
  <si>
    <t>MDS2</t>
  </si>
  <si>
    <t>MECOM</t>
  </si>
  <si>
    <t>MED12</t>
  </si>
  <si>
    <t>MFN2</t>
  </si>
  <si>
    <t>MITF</t>
  </si>
  <si>
    <t>MLF1</t>
  </si>
  <si>
    <t>MLLT1</t>
  </si>
  <si>
    <t>MLLT10</t>
  </si>
  <si>
    <t>MLLT11</t>
  </si>
  <si>
    <t>MLLT3</t>
  </si>
  <si>
    <t>MLLT4</t>
  </si>
  <si>
    <t>MLLT6</t>
  </si>
  <si>
    <t>MNX1</t>
  </si>
  <si>
    <t>MPL</t>
  </si>
  <si>
    <t>MRE11A</t>
  </si>
  <si>
    <t>MSI2</t>
  </si>
  <si>
    <t>MSN</t>
  </si>
  <si>
    <t>MTCP1</t>
  </si>
  <si>
    <t>MYB</t>
  </si>
  <si>
    <t>MYC</t>
  </si>
  <si>
    <t>MYCN</t>
  </si>
  <si>
    <t>MYD88</t>
  </si>
  <si>
    <t>MYNN</t>
  </si>
  <si>
    <t>NACA</t>
  </si>
  <si>
    <t>NCKIPSD</t>
  </si>
  <si>
    <t>NCOA1</t>
  </si>
  <si>
    <t>NCOA2</t>
  </si>
  <si>
    <t>NFE2L2</t>
  </si>
  <si>
    <t>NFIB</t>
  </si>
  <si>
    <t>NFKB2</t>
  </si>
  <si>
    <t>NIN</t>
  </si>
  <si>
    <t>NKX2-1</t>
  </si>
  <si>
    <t>NONO</t>
  </si>
  <si>
    <t>NPAT</t>
  </si>
  <si>
    <t>NPM1</t>
  </si>
  <si>
    <t>NUMA1</t>
  </si>
  <si>
    <t>NUP214</t>
  </si>
  <si>
    <t>NUTM1</t>
  </si>
  <si>
    <t>NUTM2A</t>
  </si>
  <si>
    <t>NUTM2B</t>
  </si>
  <si>
    <t>OLIG2</t>
  </si>
  <si>
    <t>OMD</t>
  </si>
  <si>
    <t>OTX2</t>
  </si>
  <si>
    <t>P2RY8</t>
  </si>
  <si>
    <t>PALLD</t>
  </si>
  <si>
    <t>PATZ1</t>
  </si>
  <si>
    <t>PAX3</t>
  </si>
  <si>
    <t>PAX7</t>
  </si>
  <si>
    <t>PAX8</t>
  </si>
  <si>
    <t>PBX1</t>
  </si>
  <si>
    <t>PCM1</t>
  </si>
  <si>
    <t>PCSK7</t>
  </si>
  <si>
    <t>PDCD1LG2</t>
  </si>
  <si>
    <t>PDGFB</t>
  </si>
  <si>
    <t>PER1</t>
  </si>
  <si>
    <t>PICALM</t>
  </si>
  <si>
    <t>PIK3CA</t>
  </si>
  <si>
    <t>PIK3R1</t>
  </si>
  <si>
    <t>PIM1</t>
  </si>
  <si>
    <t>PINK1</t>
  </si>
  <si>
    <t>PLAG1</t>
  </si>
  <si>
    <t>PMEL</t>
  </si>
  <si>
    <t>POLD3</t>
  </si>
  <si>
    <t>POT1</t>
  </si>
  <si>
    <t>POU2AF1</t>
  </si>
  <si>
    <t>POU5F1</t>
  </si>
  <si>
    <t>PPARG</t>
  </si>
  <si>
    <t>PPM1D</t>
  </si>
  <si>
    <t>PPP2R1A</t>
  </si>
  <si>
    <t>PRCC</t>
  </si>
  <si>
    <t>PRDM16</t>
  </si>
  <si>
    <t>PRF1</t>
  </si>
  <si>
    <t>PRRX1</t>
  </si>
  <si>
    <t>PSIP1</t>
  </si>
  <si>
    <t>RAB27A</t>
  </si>
  <si>
    <t>RABEP1</t>
  </si>
  <si>
    <t>RAD50</t>
  </si>
  <si>
    <t>RAD51B</t>
  </si>
  <si>
    <t>RAD51D</t>
  </si>
  <si>
    <t>RAG1</t>
  </si>
  <si>
    <t>RAG2</t>
  </si>
  <si>
    <t>RALGDS</t>
  </si>
  <si>
    <t>RANBP17</t>
  </si>
  <si>
    <t>RAP1GDS1</t>
  </si>
  <si>
    <t>RARA</t>
  </si>
  <si>
    <t>RBM15</t>
  </si>
  <si>
    <t>RBM8A</t>
  </si>
  <si>
    <t>RHBDF2</t>
  </si>
  <si>
    <t>RHOH</t>
  </si>
  <si>
    <t>RMI2</t>
  </si>
  <si>
    <t>RPL11</t>
  </si>
  <si>
    <t>RPL22</t>
  </si>
  <si>
    <t>RPL35A</t>
  </si>
  <si>
    <t>RPL5</t>
  </si>
  <si>
    <t>RPN1</t>
  </si>
  <si>
    <t>RPS17</t>
  </si>
  <si>
    <t>RPS19</t>
  </si>
  <si>
    <t>RPS24</t>
  </si>
  <si>
    <t>RTEL1</t>
  </si>
  <si>
    <t>SBDS</t>
  </si>
  <si>
    <t>SCG5</t>
  </si>
  <si>
    <t>SDC4</t>
  </si>
  <si>
    <t>SETD2</t>
  </si>
  <si>
    <t>SF3B1</t>
  </si>
  <si>
    <t>SH2D1A</t>
  </si>
  <si>
    <t>SH3GL1</t>
  </si>
  <si>
    <t>SHROOM2</t>
  </si>
  <si>
    <t>SLC34A2</t>
  </si>
  <si>
    <t>SLC45A3</t>
  </si>
  <si>
    <t>SMAD7</t>
  </si>
  <si>
    <t>SMC1A</t>
  </si>
  <si>
    <t>SOX2</t>
  </si>
  <si>
    <t>SPECC1</t>
  </si>
  <si>
    <t>SRSF2</t>
  </si>
  <si>
    <t>SRSF3</t>
  </si>
  <si>
    <t>SS18L1</t>
  </si>
  <si>
    <t>SSX1</t>
  </si>
  <si>
    <t>SSX2</t>
  </si>
  <si>
    <t>SSX4</t>
  </si>
  <si>
    <t>STX11</t>
  </si>
  <si>
    <t>STXBP2</t>
  </si>
  <si>
    <t>SUZ12</t>
  </si>
  <si>
    <t>TAF15</t>
  </si>
  <si>
    <t>TAL1</t>
  </si>
  <si>
    <t>TAL2</t>
  </si>
  <si>
    <t>TCEA1</t>
  </si>
  <si>
    <t>TCF12</t>
  </si>
  <si>
    <t>TCF3</t>
  </si>
  <si>
    <t>TCF7L1</t>
  </si>
  <si>
    <t>TCL1A</t>
  </si>
  <si>
    <t>TCL6</t>
  </si>
  <si>
    <t>TET1</t>
  </si>
  <si>
    <t>TFG</t>
  </si>
  <si>
    <t>TFPT</t>
  </si>
  <si>
    <t>TFRC</t>
  </si>
  <si>
    <t>TGFBR1</t>
  </si>
  <si>
    <t>TGFBR2</t>
  </si>
  <si>
    <t>TINF2</t>
  </si>
  <si>
    <t>TLX1</t>
  </si>
  <si>
    <t>TLX3</t>
  </si>
  <si>
    <t>TMPRSS2</t>
  </si>
  <si>
    <t>TNFRSF14</t>
  </si>
  <si>
    <t>TNFRSF17</t>
  </si>
  <si>
    <t>TOP1</t>
  </si>
  <si>
    <t>TPM3</t>
  </si>
  <si>
    <t>TPM4</t>
  </si>
  <si>
    <t>TPR</t>
  </si>
  <si>
    <t>TRA</t>
  </si>
  <si>
    <t>TRB</t>
  </si>
  <si>
    <t>TRD</t>
  </si>
  <si>
    <t>TRG</t>
  </si>
  <si>
    <t>TRIM27</t>
  </si>
  <si>
    <t>TRIM33</t>
  </si>
  <si>
    <t>TTL</t>
  </si>
  <si>
    <t>U2AF1</t>
  </si>
  <si>
    <t>UNC13D</t>
  </si>
  <si>
    <t>VTI1A</t>
  </si>
  <si>
    <t>WAS</t>
  </si>
  <si>
    <t>WHSC1</t>
  </si>
  <si>
    <t>WRAP53</t>
  </si>
  <si>
    <t>WWTR1</t>
  </si>
  <si>
    <t>XPO1</t>
  </si>
  <si>
    <t>XRCC2</t>
  </si>
  <si>
    <t>YWHAE</t>
  </si>
  <si>
    <t>ZMYM2</t>
  </si>
  <si>
    <t>ZNF331</t>
  </si>
  <si>
    <t>ZNF384</t>
  </si>
  <si>
    <t>ZRSR2</t>
  </si>
  <si>
    <t>SEPT5</t>
  </si>
  <si>
    <t>SEPT6</t>
  </si>
  <si>
    <t>SEPT9</t>
  </si>
  <si>
    <t>SFXN5 intronic</t>
  </si>
  <si>
    <t>ds GREB1, us NTSR2</t>
  </si>
  <si>
    <t>ds LINC01804, us MYCN</t>
  </si>
  <si>
    <t>Break SFXN5</t>
  </si>
  <si>
    <t>SFXN5</t>
  </si>
  <si>
    <t>Break HK2</t>
  </si>
  <si>
    <t>HK2</t>
  </si>
  <si>
    <t>Break TOGARAM2</t>
  </si>
  <si>
    <t>TOGARAM2</t>
  </si>
  <si>
    <t>Break CAPN13</t>
  </si>
  <si>
    <t>CAPN13</t>
  </si>
  <si>
    <t>Break NRXN1</t>
  </si>
  <si>
    <t>NRXN1</t>
  </si>
  <si>
    <t>ds GACAT3, us FAM49A</t>
  </si>
  <si>
    <t>Break FAM49A</t>
  </si>
  <si>
    <t>ds PROKR1, us ARHGAP</t>
  </si>
  <si>
    <t>At Diagnosis</t>
  </si>
  <si>
    <t>Supplemental table 4: Somatic structural variants</t>
  </si>
  <si>
    <t xml:space="preserve">Abbreviations; SV, structural variant; BND, Break ends (interchromosomal translocations); DEL, deletion; DUP, duplication; INV, inversion; UNK, unknown; ds, downstream; us, upstream; Rep. Seq, repetitive sequence; Tel. seq, telomeric sequence.             </t>
  </si>
  <si>
    <t>SLC5A7</t>
  </si>
  <si>
    <t>NM_001305006.2; NM_001305007.2; ENST00000264047.2; NM_021815.4; ENST00000409059.5; NM_001305005.2</t>
  </si>
  <si>
    <t>c.-464G&gt;A; c.-75G&gt;A; c.241G&gt;A</t>
  </si>
  <si>
    <t>p.G81S</t>
  </si>
  <si>
    <t>TTN</t>
  </si>
  <si>
    <t>ENST00000586707.5; ENST00000456053.5; NR_038272.1; ENST00000359218.10; NR_038271.1; ENST00000589042.5; ENST00000615779.5; ENST00000603521.1; NM_133432.3; ENST00000419746.5; NM_133437.4; ENST00000591111.5; NM_133378.4; ENST00000628826.2; NM_003319.4; ENST00000586452.5; ENST00000342992.10; ENST00000630096.2; ENST00000585451.5; ENST00000460472.6; ENST00000342175.11; NM_001256850.1; NM_001267550.2</t>
  </si>
  <si>
    <t>c.59781T&gt;G; c.67485T&gt;G; n.224+8263A&gt;C; n.346-4001A&gt;C; n.923A&gt;C; c.40866T&gt;G; n.563+8263A&gt;C; n.49+50899A&gt;C; n.552-17884A&gt;C; n.596+8263A&gt;C; c.62562T&gt;G; n.198+56076A&gt;C; c.40290T&gt;G; c.40665T&gt;G; n.2044-2860A&gt;C</t>
  </si>
  <si>
    <t>p.N22495K; p.N13622K; p.N13555K; p.N13430K; p.N19927K; p.N20854K</t>
  </si>
  <si>
    <t>q27.3</t>
  </si>
  <si>
    <t>ST6GAL1</t>
  </si>
  <si>
    <t>NM_173217.2; NM_003032.2; NM_001353916.1; ENST00000457772.6; NM_173216.2; ENST00000169298.7; ENST00000448044.5</t>
  </si>
  <si>
    <t>c.-15A&gt;C; c.679A&gt;C</t>
  </si>
  <si>
    <t>p.T227P</t>
  </si>
  <si>
    <t>MYO10</t>
  </si>
  <si>
    <t>ENST00000505695.5; NM_012334.2; ENST00000515803.5; ENST00000513610.5; ENST00000274203.13</t>
  </si>
  <si>
    <t>c.3628C&gt;G; c.3595C&gt;G; c.1612C&gt;G</t>
  </si>
  <si>
    <t>p.L538V; p.L1199V; p.L1210V</t>
  </si>
  <si>
    <t>ABLIM3</t>
  </si>
  <si>
    <t>NM_001301028.2; NM_001345858.1; NM_001345860.1; NM_001301018.2; ENST00000512647.2; ENST00000506113.5; NM_001345861.1; NM_001301027.2; ENST00000508983.5; NM_014945.4; NM_001345859.1; ENST00000309868.11; ENST00000522685.1; ENST00000326685.11; ENST00000504238.5; NM_001301015.2</t>
  </si>
  <si>
    <t>c.335+680C&gt;G; c.319C&gt;G; n.74-22003G&gt;C; n.88-34828G&gt;C</t>
  </si>
  <si>
    <t>p.L107V</t>
  </si>
  <si>
    <t>n.88-34849G&gt;A; c.340C&gt;T; n.74-22024G&gt;A; c.335+701C&gt;T</t>
  </si>
  <si>
    <t>p.H114Y</t>
  </si>
  <si>
    <t>ATP10B</t>
  </si>
  <si>
    <t>ENST00000327245.9; ENST00000642502.1; NM_025153.2</t>
  </si>
  <si>
    <t>c.3706C&gt;G; c.3622C&gt;G</t>
  </si>
  <si>
    <t>p.L1236V; p.L1208V</t>
  </si>
  <si>
    <t>AKAP12</t>
  </si>
  <si>
    <t>ENST00000402676.6; ENST00000253332.5; ENST00000354675.10; ENST00000359755.5; NM_144497.2; NM_005100.3</t>
  </si>
  <si>
    <t>c.607C&gt;T; c.628C&gt;T; c.922C&gt;T</t>
  </si>
  <si>
    <t>p.R308C; p.R203C; p.R210C</t>
  </si>
  <si>
    <t>GALNT17</t>
  </si>
  <si>
    <t>ENST00000333538.9; NM_022479.2</t>
  </si>
  <si>
    <t>c.803A&gt;G</t>
  </si>
  <si>
    <t>p.K268R</t>
  </si>
  <si>
    <t>OR5AS1</t>
  </si>
  <si>
    <t>NM_001001921.1; ENST00000641320.1; ENST00000313555.1</t>
  </si>
  <si>
    <t>c.382A&gt;G</t>
  </si>
  <si>
    <t>p.N128D</t>
  </si>
  <si>
    <t>MS4A3</t>
  </si>
  <si>
    <t>ENST00000278865.7; NM_006138.4; ENST00000534744.1; ENST00000358152.6; ENST00000395032.6; NM_001031809.1; NM_001031666.1</t>
  </si>
  <si>
    <t>c.112G&gt;T; c.-75-2990G&gt;T</t>
  </si>
  <si>
    <t>VWF</t>
  </si>
  <si>
    <t>NM_000552.4; ENST00000261405.9</t>
  </si>
  <si>
    <t>c.6190C&gt;A</t>
  </si>
  <si>
    <t>p.Q2064K</t>
  </si>
  <si>
    <t>q12.12</t>
  </si>
  <si>
    <t>SACS</t>
  </si>
  <si>
    <t>ENST00000402364.1; NM_001278055.1; NM_014363.5; ENST00000382292.8; ENST00000423156.2; ENST00000455470.6</t>
  </si>
  <si>
    <t>c.11293A&gt;G; c.2186-3099A&gt;G; c.2432-3099A&gt;G; c.9043A&gt;G; c.10852A&gt;G</t>
  </si>
  <si>
    <t>p.M3015V; p.M3618V; p.M3765V</t>
  </si>
  <si>
    <t>NM_001321431.1; ENST00000270509.6; ENST00000600128.5; ENST00000601739.5; NM_032447.4</t>
  </si>
  <si>
    <t>c.7420C&gt;T</t>
  </si>
  <si>
    <t>p.P2474S</t>
  </si>
  <si>
    <t>NOTCH3</t>
  </si>
  <si>
    <t>ENST00000263388.6; NM_000435.2; NR_106853.1</t>
  </si>
  <si>
    <t>c.3094C&gt;T; n.-1379C&gt;T</t>
  </si>
  <si>
    <t>p.L1032F</t>
  </si>
  <si>
    <t>p36.21</t>
  </si>
  <si>
    <t>PRAMEF2</t>
  </si>
  <si>
    <t>ENST00000240189.2; NM_023014.1</t>
  </si>
  <si>
    <t>c.1290C&gt;G</t>
  </si>
  <si>
    <t>p.F430L</t>
  </si>
  <si>
    <t>UBR4</t>
  </si>
  <si>
    <t>NM_020765.2; ENST00000375254.7</t>
  </si>
  <si>
    <t>c.6616C&gt;T</t>
  </si>
  <si>
    <t>p.P2206S</t>
  </si>
  <si>
    <t>IARS2</t>
  </si>
  <si>
    <t>ENST00000366922.2; NM_018060.3</t>
  </si>
  <si>
    <t>c.2302A&gt;G</t>
  </si>
  <si>
    <t>p.N768D</t>
  </si>
  <si>
    <t>ENST00000389048.7; NM_004304.4; ENST00000642122.1; ENST00000618119.4; NM_001353765.1</t>
  </si>
  <si>
    <t>c.620G&gt;A; c.3824G&gt;A; c.2693G&gt;A</t>
  </si>
  <si>
    <t>p.R898Q; p.R1275Q; p.R207Q</t>
  </si>
  <si>
    <t>28056; 88797</t>
  </si>
  <si>
    <t>PRR23C</t>
  </si>
  <si>
    <t>ENST00000413199.1; NM_001134657.1; ENST00000495075.5</t>
  </si>
  <si>
    <t>c.-143+38306C&gt;G; c.220G&gt;C</t>
  </si>
  <si>
    <t>p.E74Q</t>
  </si>
  <si>
    <t>SI</t>
  </si>
  <si>
    <t>NM_001041.3; ENST00000264382.7</t>
  </si>
  <si>
    <t>c.457C&gt;A</t>
  </si>
  <si>
    <t>p.Q153K</t>
  </si>
  <si>
    <t>ACOX3</t>
  </si>
  <si>
    <t>ENST00000356406.9; ENST00000503233.5; ENST00000413009.6; NM_001101667.1; NM_003501.2</t>
  </si>
  <si>
    <t>c.404C&gt;T</t>
  </si>
  <si>
    <t>p.S135F</t>
  </si>
  <si>
    <t>p14</t>
  </si>
  <si>
    <t>TLR10</t>
  </si>
  <si>
    <t>ENST00000613579.4; ENST00000308973.8; ENST00000506111.1; NM_030956.3; NM_001195106.1; ENST00000508334.1; ENST00000622002.4; NM_001195107.1; ENST00000361424.6; NM_001195108.1; NM_001017388.2</t>
  </si>
  <si>
    <t>c.803G&gt;T; c.845G&gt;T</t>
  </si>
  <si>
    <t>p.G268V; p.G282V</t>
  </si>
  <si>
    <t>NIPAL1</t>
  </si>
  <si>
    <t>ENST00000295461.9; NM_207330.2</t>
  </si>
  <si>
    <t>c.436C&gt;A</t>
  </si>
  <si>
    <t>p.L146M</t>
  </si>
  <si>
    <t>RXFP1</t>
  </si>
  <si>
    <t>NR_045582.1; ENST00000423548.5; NM_001253728.1; ENST00000460056.6; NM_001253730.1; NR_045583.1; ENST00000470033.2; NM_021634.3; NM_001253729.1; ENST00000343542.9; NM_001253732.1; NR_045580.1; ENST00000307765.9; ENST00000613319.4; NR_045581.1; ENST00000448688.6; NM_001253733.1; NM_001253727.1; NM_001363776.1; NR_045579.1</t>
  </si>
  <si>
    <t>n.2061C&gt;A; c.1349C&gt;A; c.1601C&gt;A; c.1277C&gt;A; n.2625C&gt;A; n.2032C&gt;A; c.1646C&gt;A; n.1948C&gt;A; c.1352C&gt;A; c.1826C&gt;A; c.1745C&gt;A; n.1969C&gt;A; c.1502C&gt;A</t>
  </si>
  <si>
    <t>p.A426E; p.A501E; p.A534E; p.A549E; p.A582E; p.A450E; p.A451E; p.A609E</t>
  </si>
  <si>
    <t>SH3RF1</t>
  </si>
  <si>
    <t>NM_020870.3; ENST00000284637.13</t>
  </si>
  <si>
    <t>c.1337G&gt;A</t>
  </si>
  <si>
    <t>p.R446H</t>
  </si>
  <si>
    <t>MAST4</t>
  </si>
  <si>
    <t>ENST00000405643.5; NM_001290227.1; NM_015183.2; NM_001297651.1; ENST00000403666.5; ENST00000261569.11; NM_001290226.1; ENST00000403625.6; NM_001164664.1</t>
  </si>
  <si>
    <t>c.4860G&gt;A; c.4278G&gt;A; c.4242G&gt;A; c.4077G&gt;A; c.4293G&gt;A; c.4323G&gt;A</t>
  </si>
  <si>
    <t>p.M1426I; p.M1620I; p.M1359I; p.M1414I; p.M1441I; p.M1431I</t>
  </si>
  <si>
    <t>CEP120</t>
  </si>
  <si>
    <t>ENST00000306467.9; NM_153223.3; ENST00000306481.10; ENST00000328236.9; NM_001166226.1</t>
  </si>
  <si>
    <t>c.2835G&gt;T; c.2757G&gt;T</t>
  </si>
  <si>
    <t>p.L945F; p.L919F</t>
  </si>
  <si>
    <t>SQSTM1</t>
  </si>
  <si>
    <t>NM_001142298.1; ENST00000360718.5; ENST00000510187.5; NM_003900.4; ENST00000389805.8; NM_001142299.1</t>
  </si>
  <si>
    <t>c.247G&gt;A; c.499G&gt;A</t>
  </si>
  <si>
    <t>p.A83T; p.A167T</t>
  </si>
  <si>
    <t>TBC1D22B</t>
  </si>
  <si>
    <t>NM_017772.3; NR_130108.1; ENST00000373491.3</t>
  </si>
  <si>
    <t>n.1720T&gt;C; c.1445T&gt;C</t>
  </si>
  <si>
    <t>p.I482T</t>
  </si>
  <si>
    <t>KIF6</t>
  </si>
  <si>
    <t>NM_001351566.1; ENST00000394362.5; ENST00000287152.11; NM_001289020.2; NM_001289024.2; ENST00000538893.5; NM_001289021.2; ENST00000229913.9; NM_145027.5</t>
  </si>
  <si>
    <t>c.433C&gt;A; c.2080C&gt;A; c.2029C&gt;A; c.1912C&gt;A</t>
  </si>
  <si>
    <t>p.Q638K; p.Q145K; p.Q694K; p.Q677K</t>
  </si>
  <si>
    <t>Splice Site; Intronic</t>
  </si>
  <si>
    <t>PLEKHG1</t>
  </si>
  <si>
    <t>NM_001329805.1; NM_001329801.1; NM_001329798.1; NM_001329806.1; NM_001329802.1; ENST00000358517.6; NM_001329803.1; ENST00000644968.1; NM_001329804.1; NM_001329799.1; NM_001029884.2; NM_001329800.1</t>
  </si>
  <si>
    <t>c.760-2A&gt;T; c.703-2A&gt;T; c.513-4865A&gt;T; c.583-2A&gt;T</t>
  </si>
  <si>
    <t>ADAM22</t>
  </si>
  <si>
    <t>NM_021722.5; NM_021721.4; NM_001324417.1; ENST00000398209.7; NM_004194.4; ENST00000398204.8; ENST00000398201.8; NM_001324420.1; NM_001324418.1; NM_016351.5; ENST00000265727.11; NM_001324421.1; NM_021723.4; NM_001324419.1</t>
  </si>
  <si>
    <t>c.1280G&gt;T; c.1283G&gt;T</t>
  </si>
  <si>
    <t>p.S428I; p.S427I</t>
  </si>
  <si>
    <t>CUX1</t>
  </si>
  <si>
    <t>ENST00000425244.6; ENST00000437600.9; ENST00000646649.1; NM_181500.3; ENST00000292535.11; ENST00000292538.9; ENST00000556210.1; ENST00000547394.6; ENST00000645010.1; ENST00000549414.6; NM_001913.4; ENST00000393824.7; NM_001202544.2; ENST00000360264.7; NM_001202546.2; NM_001202543.1; NM_001202545.2; NM_181552.3; ENST00000546411.7; ENST00000622516.5; ENST00000550008.6</t>
  </si>
  <si>
    <t>c.1117+8857C&gt;T; c.2842C&gt;T; c.1255+8857C&gt;T; c.1207+8857C&gt;T; c.1138+8857C&gt;T; c.2809C&gt;T; c.2977C&gt;T; c.3010C&gt;T; c.2536C&gt;T; c.2911C&gt;T; c.1249+8857C&gt;T; c.2503C&gt;T</t>
  </si>
  <si>
    <t>p.Q993*; p.Q971*; p.Q1004*; p.Q937*; p.Q948*; p.Q846*; p.Q835*</t>
  </si>
  <si>
    <t>NM_173054.2; ENST00000343529.9; ENST00000428762.5; NM_005045.3; ENST00000424685.2</t>
  </si>
  <si>
    <t>c.1402A&gt;C</t>
  </si>
  <si>
    <t>p.T468P</t>
  </si>
  <si>
    <t>AKR1D1</t>
  </si>
  <si>
    <t>ENST00000432161.5; NM_001190906.1; ENST00000242375.7; NM_001190907.1; ENST00000411726.6; NM_005989.3</t>
  </si>
  <si>
    <t>c.406G&gt;A</t>
  </si>
  <si>
    <t>p.E136K</t>
  </si>
  <si>
    <t>EPPK1</t>
  </si>
  <si>
    <t>NM_031308.3; ENST00000568225.2; ENST00000615648.1</t>
  </si>
  <si>
    <t>c.4724G&gt;C; c.4649G&gt;C</t>
  </si>
  <si>
    <t>p.G1550A; p.G1575A</t>
  </si>
  <si>
    <t>SLC1A1</t>
  </si>
  <si>
    <t>ENST00000262352.7; NM_004170.5</t>
  </si>
  <si>
    <t>c.1091C&gt;A</t>
  </si>
  <si>
    <t>p.T364K</t>
  </si>
  <si>
    <t>NOXA1</t>
  </si>
  <si>
    <t>NM_001256068.1; NM_006647.1; ENST00000392815.2; ENST00000341349.6; NM_001256067.1</t>
  </si>
  <si>
    <t>c.584C&gt;A; c.752C&gt;A</t>
  </si>
  <si>
    <t>p.A195E; p.A251E</t>
  </si>
  <si>
    <t>BMS1</t>
  </si>
  <si>
    <t>NM_014753.3; ENST00000374518.5</t>
  </si>
  <si>
    <t>c.540G&gt;A</t>
  </si>
  <si>
    <t>p.M180I</t>
  </si>
  <si>
    <t>CXCL12</t>
  </si>
  <si>
    <t>NM_001277990.1; ENST00000395793.7; ENST00000374426.6; NM_001033886.2; NM_000609.6; ENST00000395795.5; ENST00000374429.6</t>
  </si>
  <si>
    <t>c.310A&gt;G; c.267-2646A&gt;G; c.111-2900A&gt;G; c.110-2899A&gt;G</t>
  </si>
  <si>
    <t>p.K104E</t>
  </si>
  <si>
    <t>WNT8B</t>
  </si>
  <si>
    <t>ENST00000343737.5; NM_003393.3</t>
  </si>
  <si>
    <t>c.211C&gt;A</t>
  </si>
  <si>
    <t>p.Q71K</t>
  </si>
  <si>
    <t>ENST00000641938.1; NM_001001917.2; ENST00000641423.1; ENST00000316650.5; ENST00000641900.1</t>
  </si>
  <si>
    <t>c.886C&gt;A; c.874C&gt;A</t>
  </si>
  <si>
    <t>p.P296T; p.P292T</t>
  </si>
  <si>
    <t>MS4A14</t>
  </si>
  <si>
    <t>NR_049734.1; ENST00000531787.5; NM_001261828.1; NM_001079692.2; ENST00000395001.5; NM_032597.4; NR_049731.1; ENST00000395005.6; ENST00000531783.5; NR_049732.1; NR_049733.1; ENST00000300187.10; NM_001261827.1</t>
  </si>
  <si>
    <t>c.801G&gt;C; n.1487G&gt;C; c.753G&gt;C; c.417G&gt;C; c.852G&gt;C; c.702G&gt;C; n.1439G&gt;C; n.1538G&gt;C; n.1388G&gt;C</t>
  </si>
  <si>
    <t>p.L139F; p.L284F; p.L251F; p.L234F; p.L267F</t>
  </si>
  <si>
    <t>CCDC88B</t>
  </si>
  <si>
    <t>ENST00000356786.9; NM_032251.5</t>
  </si>
  <si>
    <t>c.1745C&gt;A</t>
  </si>
  <si>
    <t>p.P582H</t>
  </si>
  <si>
    <t>DYNC2H1</t>
  </si>
  <si>
    <t>ENST00000334267.11; ENST00000375735.6; ENST00000398093.7; NM_001080463.1; NM_001377.2</t>
  </si>
  <si>
    <t>c.244C&gt;G</t>
  </si>
  <si>
    <t>p.R82G</t>
  </si>
  <si>
    <t>IFFO1</t>
  </si>
  <si>
    <t>ENST00000465801.5; NM_001330324.1; NM_080730.4; ENST00000436152.6; ENST00000619571.4; ENST00000356896.8; ENST00000336604.8; NR_036467.1; NM_001039670.2; ENST00000615885.4; NM_001330325.1; NM_001193457.1; ENST00000396840.6</t>
  </si>
  <si>
    <t>c.1673T&gt;G; c.1682T&gt;G; c.1685T&gt;G; n.1836T&gt;G; c.761T&gt;G; c.1709T&gt;G; c.764T&gt;G; c.1679T&gt;G</t>
  </si>
  <si>
    <t>p.M255R; p.M558R; p.M560R; p.M254R; p.M570R; p.M562R; p.M561R</t>
  </si>
  <si>
    <t>q32.13</t>
  </si>
  <si>
    <t>NM_001291628.1; ENST00000527414.5; ENST00000541352.5; ENST00000343455.7; NM_030621.4; NM_001271282.2; NM_177438.2; ENST00000526495.5; ENST00000556045.5; ENST00000393063.5; NM_001195573.1</t>
  </si>
  <si>
    <t>c.4130C&gt;A; c.824C&gt;A</t>
  </si>
  <si>
    <t>p.P1377H; p.P275H</t>
  </si>
  <si>
    <t>XPO6</t>
  </si>
  <si>
    <t>ENST00000304658.9; ENST00000565698.5; ENST00000565969.1; NM_001270940.1; NM_015171.3</t>
  </si>
  <si>
    <t>n.-1271C&gt;T; c.2137C&gt;T; c.2095C&gt;T</t>
  </si>
  <si>
    <t>p.R699*; p.R713*</t>
  </si>
  <si>
    <t>5626687; 5626688</t>
  </si>
  <si>
    <t>ZNF646</t>
  </si>
  <si>
    <t>ENST00000394979.2; ENST00000300850.5; NM_014699.3</t>
  </si>
  <si>
    <t>c.2029C&gt;T</t>
  </si>
  <si>
    <t>p.R677W</t>
  </si>
  <si>
    <t>UNC45B</t>
  </si>
  <si>
    <t>ENST00000591048.2; NM_001308281.1; ENST00000268876.9; NM_001033576.1; NM_001267052.1; NM_173167.3; ENST00000394570.6</t>
  </si>
  <si>
    <t>c.33G&gt;C</t>
  </si>
  <si>
    <t>p.E11D</t>
  </si>
  <si>
    <t>SPPL2C</t>
  </si>
  <si>
    <t>ENST00000634876.1; ENST00000329196.6; NM_175882.2; NR_024559.1</t>
  </si>
  <si>
    <t>n.35-2370G&gt;A; n.152-2370G&gt;A; c.1625C&gt;T</t>
  </si>
  <si>
    <t>p.S542L</t>
  </si>
  <si>
    <t>CYB561</t>
  </si>
  <si>
    <t>ENST00000392975.6; NM_001017916.1; ENST00000582034.5; ENST00000581573.5; ENST00000448884.6; NM_001330421.1; ENST00000542042.5; NM_001017917.1; ENST00000360793.7; ENST00000582997.5; ENST00000582297.5; ENST00000392976.5; NM_001915.3; ENST00000584031.5</t>
  </si>
  <si>
    <t>c.523G&gt;A; c.570G&gt;A; c.436G&gt;A; c.544G&gt;A; c.724G&gt;A; c.406-532G&gt;A</t>
  </si>
  <si>
    <t>p.A242T; p.A146T; p.A175T; p.P190P; p.A182T</t>
  </si>
  <si>
    <t>ERN1</t>
  </si>
  <si>
    <t>ENST00000433197.3; NM_001433.4</t>
  </si>
  <si>
    <t>c.433G&gt;T</t>
  </si>
  <si>
    <t>p.D145Y</t>
  </si>
  <si>
    <t>NM_004514.3; ENST00000335255.9</t>
  </si>
  <si>
    <t>c.88T&gt;G</t>
  </si>
  <si>
    <t>p.S30A</t>
  </si>
  <si>
    <t>TAF4B</t>
  </si>
  <si>
    <t>ENST00000269142.9; NM_001293725.1; ENST00000578121.5; NR_121653.1; NM_005640.2</t>
  </si>
  <si>
    <t>c.29G&gt;T; n.80G&gt;T</t>
  </si>
  <si>
    <t>p.G10V</t>
  </si>
  <si>
    <t>c.4140C&gt;A; c.4554C&gt;A</t>
  </si>
  <si>
    <t>p.N1518K; p.N1380K</t>
  </si>
  <si>
    <t>CRX</t>
  </si>
  <si>
    <t>ENST00000613299.1; ENST00000539067.5; ENST00000221996.11; NM_000554.5</t>
  </si>
  <si>
    <t>c.895T&gt;A; c.*617T&gt;A</t>
  </si>
  <si>
    <t>p.L299M</t>
  </si>
  <si>
    <t>PNKP</t>
  </si>
  <si>
    <t>ENST00000600573.5; ENST00000600910.5; ENST00000322344.7; ENST00000631020.2; ENST00000596014.5; NM_007254.3</t>
  </si>
  <si>
    <t>c.1327G&gt;A; c.1437G&gt;A; c.1344G&gt;A; c.1329G&gt;A</t>
  </si>
  <si>
    <t>p.V443I; p.M443I; p.M479I; p.M448I</t>
  </si>
  <si>
    <t>ISM1</t>
  </si>
  <si>
    <t>NM_080826.1; ENST00000262487.4</t>
  </si>
  <si>
    <t>c.504G&gt;C</t>
  </si>
  <si>
    <t>p.L168F</t>
  </si>
  <si>
    <t>TSPEAR</t>
  </si>
  <si>
    <t>NM_144991.2; ENST00000614657.4; ENST00000323084.8; ENST00000400375.1; NM_198691.2; ENST00000613245.5; NM_001272037.1</t>
  </si>
  <si>
    <t>c.100-5878A&gt;G; c.350A&gt;G; c.304-5878A&gt;G</t>
  </si>
  <si>
    <t>p.D117G</t>
  </si>
  <si>
    <t>YDJC</t>
  </si>
  <si>
    <t>ENST00000398873.4; NM_001017964.1; ENST00000292778.10</t>
  </si>
  <si>
    <t>c.*31G&gt;A; c.659G&gt;A</t>
  </si>
  <si>
    <t>p.R220H</t>
  </si>
  <si>
    <t>APEX2</t>
  </si>
  <si>
    <t>NM_001271748.1; ENST00000374987.3; NM_014481.3</t>
  </si>
  <si>
    <t>c.1464G&gt;C; c.951G&gt;C</t>
  </si>
  <si>
    <t>p.L317F; p.L488F</t>
  </si>
  <si>
    <t>p36.23</t>
  </si>
  <si>
    <t>CA6</t>
  </si>
  <si>
    <t>ENST00000377443.6; NM_001215.3; ENST00000480186.7; NM_001270500.1; NM_001270501.1; ENST00000377436.6; ENST00000377442.3; NM_001270502.1</t>
  </si>
  <si>
    <t>c.103T&gt;A; c.24+3321T&gt;A; c.79+3321T&gt;A</t>
  </si>
  <si>
    <t>p.W35R</t>
  </si>
  <si>
    <t>CDCA8</t>
  </si>
  <si>
    <t>NM_001256875.1; ENST00000373055.5; ENST00000327331.2; NM_018101.3</t>
  </si>
  <si>
    <t>c.432G&gt;T</t>
  </si>
  <si>
    <t>p.R144S</t>
  </si>
  <si>
    <t>p33</t>
  </si>
  <si>
    <t>CYP4A22</t>
  </si>
  <si>
    <t>ENST00000294337.7; ENST00000444042.2; ENST00000620131.1; NM_001308102.1; ENST00000371891.7; NM_001010969.3; ENST00000371890.7; ENST00000619754.4</t>
  </si>
  <si>
    <t>c.1296C&gt;A; n.396+30950G&gt;T; c.1002C&gt;A; c.1299C&gt;A</t>
  </si>
  <si>
    <t>p.D433E; p.D334E; p.D432E</t>
  </si>
  <si>
    <t>TRABD2B</t>
  </si>
  <si>
    <t>ENST00000606738.2; NM_001194986.1</t>
  </si>
  <si>
    <t>c.140G&gt;A</t>
  </si>
  <si>
    <t>p.R47H</t>
  </si>
  <si>
    <t>ARHGAP29</t>
  </si>
  <si>
    <t>ENST00000260526.10; NM_001328666.1; NM_001328667.1; NM_004815.3; NM_001328664.1; NM_001328665.1</t>
  </si>
  <si>
    <t>c.1388C&gt;G; c.1553C&gt;G; c.1580C&gt;G</t>
  </si>
  <si>
    <t>p.P518R; p.P527R; p.P463R</t>
  </si>
  <si>
    <t>PI4KB</t>
  </si>
  <si>
    <t>ENST00000368875.6; ENST00000368873.5; NM_001330721.1; NM_001198773.2; ENST00000529142.5; NM_001198774.1; ENST00000368874.8; NM_001198775.2; ENST00000368872.5; NM_002651.3</t>
  </si>
  <si>
    <t>c.761C&gt;G; c.725C&gt;G; c.-42-7956C&gt;G</t>
  </si>
  <si>
    <t>p.S242*; p.S254*</t>
  </si>
  <si>
    <t>S100A11</t>
  </si>
  <si>
    <t>ENST00000271638.2; NM_005620.1; ENST00000432386.1</t>
  </si>
  <si>
    <t>c.185G&gt;A; n.2920-8790C&gt;T</t>
  </si>
  <si>
    <t>p.R62H</t>
  </si>
  <si>
    <t>ENST00000341372.7; NM_152263.3; NM_001364682.1; ENST00000271850.11; NM_001278189.1; NM_001364683.1; NM_001349679.1; ENST00000368533.7; NM_001278190.1; ENST00000341485.9; NM_001364679.1; ENST00000368530.6; NM_001043351.1; ENST00000323144.11; NM_153649.3; ENST00000302206.9; NM_001278191.1; NM_001278188.1; NM_001043353.1; NR_103461.1; NM_001364680.1; ENST00000611659.4; NM_001043352.1; ENST00000330188.13; ENST00000328159.8; NM_001364681.1; ENST00000368531.6</t>
  </si>
  <si>
    <t>c.224A&gt;C; n.552A&gt;C; c.347A&gt;C; c.152A&gt;C; c.533A&gt;C; c.374A&gt;C; c.422A&gt;C</t>
  </si>
  <si>
    <t>p.E141A; p.E125A; p.E178A; p.E116A; p.E51A; p.E75A</t>
  </si>
  <si>
    <t>PM20D1</t>
  </si>
  <si>
    <t>ENST00000367136.4; NR_135186.1; NM_152491.4</t>
  </si>
  <si>
    <t>c.1030A&gt;T; n.1044A&gt;T</t>
  </si>
  <si>
    <t>p.K344*</t>
  </si>
  <si>
    <t>p21</t>
  </si>
  <si>
    <t>PPM1B</t>
  </si>
  <si>
    <t>ENST00000282412.8; NM_002706.5; ENST00000378551.6; ENST00000345249.8; NM_001033557.2; NM_177968.3; NM_177969.3; ENST00000409432.7</t>
  </si>
  <si>
    <t>c.-15-7396T&gt;A; c.615T&gt;A</t>
  </si>
  <si>
    <t>p.Y205*</t>
  </si>
  <si>
    <t>MBD5</t>
  </si>
  <si>
    <t>ENST00000642680.1; ENST00000404807.5; ENST00000638043.2; NM_018328.4; ENST00000637159.1; ENST00000407073.5; ENST00000627651.2</t>
  </si>
  <si>
    <t>c.29G&gt;A</t>
  </si>
  <si>
    <t>p.G10E</t>
  </si>
  <si>
    <t>PTPRN</t>
  </si>
  <si>
    <t>ENST00000295718.6; ENST00000417355.1; ENST00000409251.7; ENST00000423636.6; NM_001199764.1; NM_001199763.1; NM_002846.3</t>
  </si>
  <si>
    <t>n.178-1365G&gt;A; c.313C&gt;T; c.583C&gt;T</t>
  </si>
  <si>
    <t>p.P105S; p.P195S</t>
  </si>
  <si>
    <t>PRSS56</t>
  </si>
  <si>
    <t>ENST00000449534.6; NM_001195129.1; ENST00000617714.1</t>
  </si>
  <si>
    <t>c.191C&gt;A</t>
  </si>
  <si>
    <t>p.S64*</t>
  </si>
  <si>
    <t>TIGD1</t>
  </si>
  <si>
    <t>ENST00000409098.5; ENST00000409514.5; NM_001330203.1; ENST00000409167.7; NM_001330202.1; NM_145702.2; NM_001330201.1; NM_001282958.1; NM_001276336.1; ENST00000409394.5; ENST00000258416.7; ENST00000408957.4; NM_001276337.1; NM_004846.3; ENST00000409322.5; ENST00000409495.5</t>
  </si>
  <si>
    <t>c.95C&gt;G; c.-937G&gt;C; c.-1426G&gt;C</t>
  </si>
  <si>
    <t>p.S32*</t>
  </si>
  <si>
    <t>PARP9</t>
  </si>
  <si>
    <t>ENST00000492382.5; NM_001146104.1; ENST00000462315.5; ENST00000477522.6; NM_031458.2; ENST00000360356.6; NM_001146103.1; ENST00000471785.5; NM_001146102.1; NM_001146106.1; NM_001146105.1</t>
  </si>
  <si>
    <t>c.2080+6T&gt;G; c.2086T&gt;G; c.820+6T&gt;G; c.2185+6T&gt;G</t>
  </si>
  <si>
    <t>p.C696G</t>
  </si>
  <si>
    <t>ARHGEF26</t>
  </si>
  <si>
    <t>NM_001251963.1; ENST00000356448.8; ENST00000465817.1; NM_015595.3; NM_001251962.1; ENST00000496710.5; ENST00000465093.5</t>
  </si>
  <si>
    <t>c.1274-38951A&gt;C; c.1903A&gt;C</t>
  </si>
  <si>
    <t>p.T635P</t>
  </si>
  <si>
    <t>ZNF292</t>
  </si>
  <si>
    <t>ENST00000369577.7; NM_015021.2; ENST00000339907.8; NM_001351444.1</t>
  </si>
  <si>
    <t>c.2690A&gt;T; c.2705A&gt;T; c.2285A&gt;T</t>
  </si>
  <si>
    <t>p.Q902L; p.Q762L; p.Q897L</t>
  </si>
  <si>
    <t>NUP205</t>
  </si>
  <si>
    <t>ENST00000285968.10; NM_001329434.1; NM_015135.2</t>
  </si>
  <si>
    <t>c.28+1G&gt;T; c.-1058+1G&gt;T</t>
  </si>
  <si>
    <t>PKHD1L1</t>
  </si>
  <si>
    <t>ENST00000378402.9; NM_177531.5</t>
  </si>
  <si>
    <t>c.2899G&gt;T</t>
  </si>
  <si>
    <t>p.E967*</t>
  </si>
  <si>
    <t>ST5</t>
  </si>
  <si>
    <t>ENST00000530438.5; ENST00000534127.5; ENST00000313726.10; NM_213618.1; ENST00000626808.2; ENST00000526099.5; NM_139157.2; NM_005418.3; ENST00000530991.5; ENST00000526757.5</t>
  </si>
  <si>
    <t>c.438A&gt;T; c.639A&gt;T; c.729A&gt;T; c.1899A&gt;T; c.315A&gt;T</t>
  </si>
  <si>
    <t>p.L105F; p.L243F; p.L213F; p.L633F; p.L146F</t>
  </si>
  <si>
    <t>p13.33</t>
  </si>
  <si>
    <t>B4GALNT3</t>
  </si>
  <si>
    <t>ENST00000266383.9; NM_173593.3</t>
  </si>
  <si>
    <t>c.2746C&gt;T</t>
  </si>
  <si>
    <t>p.P916S</t>
  </si>
  <si>
    <t>AACS</t>
  </si>
  <si>
    <t>NM_001319839.1; NM_001319840.1; ENST00000316519.10; NM_023928.4</t>
  </si>
  <si>
    <t>c.1538C&gt;T; c.1415C&gt;T</t>
  </si>
  <si>
    <t>p.S472F; p.S513F</t>
  </si>
  <si>
    <t>STXBP6</t>
  </si>
  <si>
    <t>NM_001351942.1; NM_001304476.1; NM_014178.7; ENST00000550887.5; NM_001351943.1; NM_001304477.1; ENST00000419632.6; NM_001351940.1; ENST00000546511.5; ENST00000396700.5; ENST00000323944.9; NM_001351941.1</t>
  </si>
  <si>
    <t>c.412C&gt;T; c.376C&gt;T</t>
  </si>
  <si>
    <t>p.L138F; p.L126F</t>
  </si>
  <si>
    <t>SH3GL3</t>
  </si>
  <si>
    <t>ENST00000427482.6; NM_001324184.1; NR_136713.1; NM_001324185.1; NR_136714.1; NM_001301109.1; ENST00000324537.5; NM_001324186.1; NM_001324182.1; NR_136711.1; NM_001301108.1; NM_001324187.1; NR_136712.1; NM_003027.4; NR_125370.1; NM_001324183.1</t>
  </si>
  <si>
    <t>n.1672+1994G&gt;T; c.839-6622G&gt;T; n.1485+1994G&gt;T; n.1334+1994G&gt;T; c.734-6622G&gt;T; c.881G&gt;T; n.1294-6622G&gt;T; c.863-6622G&gt;T; c.632-6622G&gt;T; n.1341+1994G&gt;T</t>
  </si>
  <si>
    <t>p.R294M</t>
  </si>
  <si>
    <t>KRT35</t>
  </si>
  <si>
    <t>ENST00000393989.1; ENST00000246639.6; NM_002280.4</t>
  </si>
  <si>
    <t>c.950G&gt;A; c.1040G&gt;A</t>
  </si>
  <si>
    <t>p.R347H; p.R317H</t>
  </si>
  <si>
    <t>NCAN</t>
  </si>
  <si>
    <t>ENST00000252575.10; NM_004386.2</t>
  </si>
  <si>
    <t>c.2630A&gt;T</t>
  </si>
  <si>
    <t>p.E877V</t>
  </si>
  <si>
    <t>ANGPT4</t>
  </si>
  <si>
    <t>NM_001322809.1; NM_015985.3; ENST00000381922.4</t>
  </si>
  <si>
    <t>c.537C&gt;A</t>
  </si>
  <si>
    <t>p.N179K</t>
  </si>
  <si>
    <t>ENST00000331758.7; NR_125981.1; ENST00000370848.8; NM_198935.2; NM_001301778.1; NR_125980.1</t>
  </si>
  <si>
    <t>n.1193C&gt;T; c.320C&gt;T; c.713C&gt;T; n.814C&gt;T; c.467C&gt;T</t>
  </si>
  <si>
    <t>p.S156F; p.S238F; p.S107F</t>
  </si>
  <si>
    <t>Break AGBL4</t>
  </si>
  <si>
    <t>&gt;&gt;&gt;&gt;</t>
  </si>
  <si>
    <t>AGBL4</t>
  </si>
  <si>
    <t>ds ADGRL4, us LINC01781</t>
  </si>
  <si>
    <t>Break NPFFR1</t>
  </si>
  <si>
    <t>NPFFR1</t>
  </si>
  <si>
    <t>ds LOC101928433, us STMND1</t>
  </si>
  <si>
    <t>ds LINC00303, us SOX13</t>
  </si>
  <si>
    <t>THSD4</t>
  </si>
  <si>
    <t>NA</t>
  </si>
  <si>
    <t>ds ds FAM89A, us TRIM67, us</t>
  </si>
  <si>
    <t/>
  </si>
  <si>
    <t>ds Break PLEC, us</t>
  </si>
  <si>
    <t>Break ADAM12</t>
  </si>
  <si>
    <t>ADAM12</t>
  </si>
  <si>
    <t>Break PLXDC1</t>
  </si>
  <si>
    <t>PLXDC1</t>
  </si>
  <si>
    <t>PTPRM</t>
  </si>
  <si>
    <t>ds TEKT4P2, us TPTE</t>
  </si>
  <si>
    <t>ds MIR99AHG, us LINC01549</t>
  </si>
  <si>
    <t>Break XIST</t>
  </si>
  <si>
    <t>XIST</t>
  </si>
  <si>
    <t>NEGR1</t>
  </si>
  <si>
    <t>Break NEGR1</t>
  </si>
  <si>
    <t>ds CASP9, us DNAJC16</t>
  </si>
  <si>
    <t>Break HTR1F</t>
  </si>
  <si>
    <t>HTR1F</t>
  </si>
  <si>
    <t>Break EIF3I</t>
  </si>
  <si>
    <t>Break AFAP1 (intronic)</t>
  </si>
  <si>
    <t>APAP1</t>
  </si>
  <si>
    <t>Break PPP2R2B</t>
  </si>
  <si>
    <t>PPP2R2B</t>
  </si>
  <si>
    <t>Break WDR46</t>
  </si>
  <si>
    <t>ds DAXX, us KIFC1</t>
  </si>
  <si>
    <t>CRB1</t>
  </si>
  <si>
    <t>WDR46</t>
  </si>
  <si>
    <t>Break IL7</t>
  </si>
  <si>
    <t>ds IL7, us STMN2</t>
  </si>
  <si>
    <t>CORO2B</t>
  </si>
  <si>
    <t>IL7</t>
  </si>
  <si>
    <t>ds MIR3927, us PALM2</t>
  </si>
  <si>
    <t>Break PALM2</t>
  </si>
  <si>
    <t>PALM2</t>
  </si>
  <si>
    <t>Break JMJD1C</t>
  </si>
  <si>
    <t>ds REEP3, us ANXA2P3</t>
  </si>
  <si>
    <t>JMJD1C</t>
  </si>
  <si>
    <t>ds ANHX, us N/A</t>
  </si>
  <si>
    <t>PTGER3</t>
  </si>
  <si>
    <t>Break CERS3-AS1</t>
  </si>
  <si>
    <t>CERS3-AS1</t>
  </si>
  <si>
    <t>ds LOC105372038, us CDH2</t>
  </si>
  <si>
    <t>ds MIR3156-3, us LINC01674</t>
  </si>
  <si>
    <t>ds MIR548XHG, us LINC00320</t>
  </si>
  <si>
    <t>ds DANT2, us AGTR2</t>
  </si>
  <si>
    <t>Break PTGER3</t>
  </si>
  <si>
    <t>Break ZRANB2-AS2</t>
  </si>
  <si>
    <t>ZRANB2-AS2</t>
  </si>
  <si>
    <t>Break PI4KB</t>
  </si>
  <si>
    <t>Break CRB1</t>
  </si>
  <si>
    <t>ds DENND1B, us C1orf53</t>
  </si>
  <si>
    <t>Break RBMS3 (intronic)</t>
  </si>
  <si>
    <t>RBMS3</t>
  </si>
  <si>
    <t>Break TENM3</t>
  </si>
  <si>
    <t>TENM3</t>
  </si>
  <si>
    <t>PSPC1</t>
  </si>
  <si>
    <t>Break Break NRG2</t>
  </si>
  <si>
    <t>NRG2</t>
  </si>
  <si>
    <t>Break DPY19L1P1</t>
  </si>
  <si>
    <t>ds LINC00997, us DPY19L1P2</t>
  </si>
  <si>
    <t>C15orf41</t>
  </si>
  <si>
    <t>DPY19L1P1</t>
  </si>
  <si>
    <t>Break GRK5 (intronic)</t>
  </si>
  <si>
    <t>GRK5</t>
  </si>
  <si>
    <t>Break LRRC4C (intronic)</t>
  </si>
  <si>
    <t>LRRC4C</t>
  </si>
  <si>
    <t>Break FCHSD2 (intronic)</t>
  </si>
  <si>
    <t>FCHSD2</t>
  </si>
  <si>
    <t>ds LOC100288778, us IQSEC3</t>
  </si>
  <si>
    <t>ds LARGE1, us ISX-AS1</t>
  </si>
  <si>
    <t>Break PSPC1</t>
  </si>
  <si>
    <t>Break ZMYM2</t>
  </si>
  <si>
    <t>ds N/A, us CHEK2P2</t>
  </si>
  <si>
    <t>ds MIR8067, us MIR6085</t>
  </si>
  <si>
    <t>ds LOC101928174, us AQR</t>
  </si>
  <si>
    <t>Break ADAMTS7</t>
  </si>
  <si>
    <t>ADAMTS7</t>
  </si>
  <si>
    <t>ds ZNF770, us ANP32AP1</t>
  </si>
  <si>
    <t>ds RGMA, us LOC101927153</t>
  </si>
  <si>
    <t>Break C15orf41</t>
  </si>
  <si>
    <t>ds LINC00923, us ARRDC4</t>
  </si>
  <si>
    <t>ds MFGE8, us ABHD2</t>
  </si>
  <si>
    <t>Break AGBL1</t>
  </si>
  <si>
    <t>AGBL1</t>
  </si>
  <si>
    <t>Break HERC1</t>
  </si>
  <si>
    <t>Break PTPN9</t>
  </si>
  <si>
    <t>PTPN9</t>
  </si>
  <si>
    <t>HERC1</t>
  </si>
  <si>
    <t>ds RNU6-1, us PIAS1</t>
  </si>
  <si>
    <t>Break ARNT2</t>
  </si>
  <si>
    <t>ARNT2</t>
  </si>
  <si>
    <t>Break CORO2B</t>
  </si>
  <si>
    <t>ds ISG20, us ACAN</t>
  </si>
  <si>
    <t>Break THSD4</t>
  </si>
  <si>
    <t>ds OR4F15, us OR4F13P</t>
  </si>
  <si>
    <t>Break LINGO1</t>
  </si>
  <si>
    <t>Break ADAMTS17</t>
  </si>
  <si>
    <t>ADAMTS17</t>
  </si>
  <si>
    <t>Break ANKRD34C-AS1</t>
  </si>
  <si>
    <t>Break IQGAP1</t>
  </si>
  <si>
    <t>IQGAP1</t>
  </si>
  <si>
    <t>ANKRD34C-AS1</t>
  </si>
  <si>
    <t>ds SLCO3A1, us ST8SIA2</t>
  </si>
  <si>
    <t>ds SPATA8, us LOC101927286</t>
  </si>
  <si>
    <t>ds FAM169B, us IRAIN</t>
  </si>
  <si>
    <t>ds ASB7, us ALDH1A3</t>
  </si>
  <si>
    <t>ds SMG1P2, us SPN</t>
  </si>
  <si>
    <t>Break KCTD13</t>
  </si>
  <si>
    <t>KCTD13</t>
  </si>
  <si>
    <t>Break PLXDC1  (intronic)</t>
  </si>
  <si>
    <t>Break PLXDC1 (intronic)</t>
  </si>
  <si>
    <t>Break HDAC5  (intronic)</t>
  </si>
  <si>
    <t>HDAC5</t>
  </si>
  <si>
    <t>ds RFPL4A, us RFPL4AL1</t>
  </si>
  <si>
    <t>ds RFPL4AL1, us NLRP11</t>
  </si>
  <si>
    <t xml:space="preserve">At diagnosis </t>
  </si>
  <si>
    <t>Tel.seq</t>
  </si>
  <si>
    <t>Term</t>
  </si>
  <si>
    <t>Overlap</t>
  </si>
  <si>
    <t>P-value</t>
  </si>
  <si>
    <t>Odds Ratio</t>
  </si>
  <si>
    <t>Combined Score</t>
  </si>
  <si>
    <t>Genes</t>
  </si>
  <si>
    <t>Tight junction</t>
  </si>
  <si>
    <t>14/170</t>
  </si>
  <si>
    <t>5.06338682839369E-4</t>
  </si>
  <si>
    <t>0.15595231431452564</t>
  </si>
  <si>
    <t>2.805892373985369</t>
  </si>
  <si>
    <t>21.291966510609203</t>
  </si>
  <si>
    <t>MAGI1;PCNA;MYH15;CACNA1D;GATA4;CGN;CD1C;TJP1;DLG2;CCND1;CDK4;PPP2R2B;AMOTL1;MAP2K7</t>
  </si>
  <si>
    <t>Glutamatergic synapse</t>
  </si>
  <si>
    <t>10/114</t>
  </si>
  <si>
    <t>0.0019443893108234682</t>
  </si>
  <si>
    <t>0.2994359538668141</t>
  </si>
  <si>
    <t>2.988732478555844</t>
  </si>
  <si>
    <t>18.658081025208546</t>
  </si>
  <si>
    <t>GRIN3A;HOMER1;GNG7;SLC1A1;GRIK4;CACNA1D;DLGAP1;ADCY8;SHANK2;ADCY5</t>
  </si>
  <si>
    <t>PI3K-Akt signaling pathway</t>
  </si>
  <si>
    <t>20/354</t>
  </si>
  <si>
    <t>0.004193624184551754</t>
  </si>
  <si>
    <t>0.43054541628064674</t>
  </si>
  <si>
    <t>1.9249463421207134</t>
  </si>
  <si>
    <t>10.537521936490863</t>
  </si>
  <si>
    <t>MAGI1;ANGPT4;FLT1;F2R;BRCA1;OSMR;FGF4;RPTOR;RELN;CCND1;IL7;CDK4;PPP2R2B;GNG7;COL4A3;MDM2;KRAS;IL7R;FGFR3;FGFR1</t>
  </si>
  <si>
    <t>Bladder cancer</t>
  </si>
  <si>
    <t>0.006706088556559527</t>
  </si>
  <si>
    <t>0.5163688188550836</t>
  </si>
  <si>
    <t>4.155067104333734</t>
  </si>
  <si>
    <t>20.795028152466998</t>
  </si>
  <si>
    <t>Pathways in cancer</t>
  </si>
  <si>
    <t>25/530</t>
  </si>
  <si>
    <t>0.014016675812316892</t>
  </si>
  <si>
    <t>0.8634272300387206</t>
  </si>
  <si>
    <t>1.607148596959275</t>
  </si>
  <si>
    <t>6.85851873733975</t>
  </si>
  <si>
    <t>ALK;CEBPA;PTGER3;WNT8B;ADCY8;ADCY5;FGF4;TERT;CCND1;GNG7;IL12RB2;JAG2;ARNT2;TPM3;F2R;CXCL12;CDK4;TRAF3;IL7;COL4A3;MDM2;KRAS;IL7R;FGFR3;FGFR1</t>
  </si>
  <si>
    <t>Arginine and proline metabolism</t>
  </si>
  <si>
    <t>5/49</t>
  </si>
  <si>
    <t>0.014102635528041918</t>
  </si>
  <si>
    <t>0.7239352904394852</t>
  </si>
  <si>
    <t>3.47668880158537</t>
  </si>
  <si>
    <t>14.81553934632129</t>
  </si>
  <si>
    <t>CKMT2;GOT1;P4HA1;AMD1;CARNS1</t>
  </si>
  <si>
    <t>Gap junction</t>
  </si>
  <si>
    <t>0.01485480970875166</t>
  </si>
  <si>
    <t>0.653611627185073</t>
  </si>
  <si>
    <t>2.710236952144959</t>
  </si>
  <si>
    <t>11.408557015809944</t>
  </si>
  <si>
    <t>TUBB8;TJP1;PRKG2;KRAS;HTR2A;ADCY8;ADCY5</t>
  </si>
  <si>
    <t>Bile secretion</t>
  </si>
  <si>
    <t>6/72</t>
  </si>
  <si>
    <t>0.018997916719215583</t>
  </si>
  <si>
    <t>0.7314197936897999</t>
  </si>
  <si>
    <t>2.839295854628052</t>
  </si>
  <si>
    <t>11.253338876162328</t>
  </si>
  <si>
    <t>Melanoma</t>
  </si>
  <si>
    <t>0.6501509277242666</t>
  </si>
  <si>
    <t>CCND1;CDK4;MDM2;KRAS;FGF4;FGFR1</t>
  </si>
  <si>
    <t>Longevity regulating pathway</t>
  </si>
  <si>
    <t>7/102</t>
  </si>
  <si>
    <t>0.03059966148654356</t>
  </si>
  <si>
    <t>0.9424695737855415</t>
  </si>
  <si>
    <t>2.338243644987808</t>
  </si>
  <si>
    <t>8.152909218797388</t>
  </si>
  <si>
    <t>Rap1 signaling pathway</t>
  </si>
  <si>
    <t>11/206</t>
  </si>
  <si>
    <t>0.0412217377644332</t>
  </si>
  <si>
    <t>1.0</t>
  </si>
  <si>
    <t>1.819354625295645</t>
  </si>
  <si>
    <t>5.801539009837405</t>
  </si>
  <si>
    <t>MAGI1;ANGPT4;FLT1;PRKD3;F2R;KRAS;ADCY8;FGFR3;ADCY5;FGF4;FGFR1</t>
  </si>
  <si>
    <t>Biosynthesis of unsaturated fatty acids</t>
  </si>
  <si>
    <t>3/27</t>
  </si>
  <si>
    <t>0.043651873750180946</t>
  </si>
  <si>
    <t>3.785727806170736</t>
  </si>
  <si>
    <t>11.85504096507336</t>
  </si>
  <si>
    <t>ACOT7;ELOVL7;ACOX3</t>
  </si>
  <si>
    <t>Nucleotide excision repair</t>
  </si>
  <si>
    <t>0.04856254866152045</t>
  </si>
  <si>
    <t>2.8997064047265213</t>
  </si>
  <si>
    <t>8.771329584445226</t>
  </si>
  <si>
    <t>Signaling pathways regulating pluripotency of stem cells</t>
  </si>
  <si>
    <t>8/139</t>
  </si>
  <si>
    <t>0.05265158839394925</t>
  </si>
  <si>
    <t>1.9609525326927555</t>
  </si>
  <si>
    <t>5.773159701310287</t>
  </si>
  <si>
    <t>ZFHX3;BMPR2;WNT8B;KRAS;OTX1;FGFR3;NEUROG1;FGFR1</t>
  </si>
  <si>
    <t>Thyroid hormone signaling pathway</t>
  </si>
  <si>
    <t>7/116</t>
  </si>
  <si>
    <t>0.05487753595502043</t>
  </si>
  <si>
    <t>2.056041825765141</t>
  </si>
  <si>
    <t>5.967972263249394</t>
  </si>
  <si>
    <t>CCND1;MDM2;GATA4;KRAS;MED12L;MYH6;MED13L</t>
  </si>
  <si>
    <t>Galactose metabolism</t>
  </si>
  <si>
    <t>3/31</t>
  </si>
  <si>
    <t>0.06161240283179375</t>
  </si>
  <si>
    <t>3.2972467989228993</t>
  </si>
  <si>
    <t>9.189071003037219</t>
  </si>
  <si>
    <t>B4GALT2;PFKL;SI</t>
  </si>
  <si>
    <t>Breast cancer</t>
  </si>
  <si>
    <t>8/147</t>
  </si>
  <si>
    <t>0.06841705447459542</t>
  </si>
  <si>
    <t>1.8542340275121973</t>
  </si>
  <si>
    <t>4.9733025549182575</t>
  </si>
  <si>
    <t>JAG2;CCND1;CDK4;WNT8B;KRAS;BRCA1;FGF4;FGFR1</t>
  </si>
  <si>
    <t>Base excision repair</t>
  </si>
  <si>
    <t>3/33</t>
  </si>
  <si>
    <t>0.07168691417067591</t>
  </si>
  <si>
    <t>3.0974136595942388</t>
  </si>
  <si>
    <t>8.163069710741901</t>
  </si>
  <si>
    <t>PCNA;APEX2;POLE</t>
  </si>
  <si>
    <t>Regulation of lipolysis in adipocytes</t>
  </si>
  <si>
    <t>4/55</t>
  </si>
  <si>
    <t>0.07762061553591693</t>
  </si>
  <si>
    <t>2.477930927675391</t>
  </si>
  <si>
    <t>6.333398724987548</t>
  </si>
  <si>
    <t>PTGER3;PRKG2;ADCY8;ADCY5</t>
  </si>
  <si>
    <t>RNA degradation</t>
  </si>
  <si>
    <t>5/79</t>
  </si>
  <si>
    <t>0.08256684046124432</t>
  </si>
  <si>
    <t>2.156427231363078</t>
  </si>
  <si>
    <t>5.378446782086853</t>
  </si>
  <si>
    <t>DDX6;CNOT6;PFKL;CNOT7;CNOT1</t>
  </si>
  <si>
    <t>Human papillomavirus infection</t>
  </si>
  <si>
    <t>19/330</t>
  </si>
  <si>
    <t>2.8175823611538366E-6</t>
  </si>
  <si>
    <t>8.678153672353817E-4</t>
  </si>
  <si>
    <t>3.47889773871647</t>
  </si>
  <si>
    <t>44.459030638062146</t>
  </si>
  <si>
    <t>MAGI1;NOTCH2;NOTCH3;WNT2B;FZD5;VWF;ITGA2B;UBR4;WNT8B;TNF;IKBKB;RELN;DLG2;CREB1;TERT;CCND1;CDK4;PPP2R2B;MDM2</t>
  </si>
  <si>
    <t>22/530</t>
  </si>
  <si>
    <t>7.979882770862507E-5</t>
  </si>
  <si>
    <t>0.01228901946712826</t>
  </si>
  <si>
    <t>2.508122898022003</t>
  </si>
  <si>
    <t>23.666652039863138</t>
  </si>
  <si>
    <t>NOTCH2;ALK;CSF1R;NOTCH3;FH;WNT2B;FZD5;PTGER3;ITGA2B;WNT8B;CSF2RB;GLI2;FGF4;IKBKB;GNA13;CXCL12;TERT;CCND1;CDK4;MDM2;FGFR3;MET</t>
  </si>
  <si>
    <t>17/354</t>
  </si>
  <si>
    <t>9.304321363138213E-5</t>
  </si>
  <si>
    <t>0.009552436599488566</t>
  </si>
  <si>
    <t>2.9016676054414807</t>
  </si>
  <si>
    <t>26.93457433739816</t>
  </si>
  <si>
    <t>CHRM2;MAGI1;CSF1R;VWF;INSR;ITGA2B;FGF4;IKBKB;RELN;CREB1;CCND1;CDK4;PPP2R2B;MDM2;SGK3;FGFR3;MET</t>
  </si>
  <si>
    <t>11/170</t>
  </si>
  <si>
    <t>1.2889446021193706E-4</t>
  </si>
  <si>
    <t>0.009924873436319153</t>
  </si>
  <si>
    <t>3.909720988093123</t>
  </si>
  <si>
    <t>35.0174810342535</t>
  </si>
  <si>
    <t>MAGI1;CLDN6;MYH2;DLG2;CCND1;CDK4;PPP2R2B;ACTN1;GATA4;MAP2K7;CGNL1</t>
  </si>
  <si>
    <t>Pantothenate and CoA biosynthesis</t>
  </si>
  <si>
    <t>4/19</t>
  </si>
  <si>
    <t>2.3459331446855282E-4</t>
  </si>
  <si>
    <t>0.014450948171262853</t>
  </si>
  <si>
    <t>12.720623310542218</t>
  </si>
  <si>
    <t>106.3146079787243</t>
  </si>
  <si>
    <t>8/116</t>
  </si>
  <si>
    <t>6.984170414817086E-4</t>
  </si>
  <si>
    <t>0.03585207479606104</t>
  </si>
  <si>
    <t>4.167100739660381</t>
  </si>
  <si>
    <t>30.281046579808603</t>
  </si>
  <si>
    <t>NOTCH2;NOTCH3;CCND1;SIN3A;MDM2;GATA4;MED12L;MED13L</t>
  </si>
  <si>
    <t>Osteoclast differentiation</t>
  </si>
  <si>
    <t>8/127</t>
  </si>
  <si>
    <t>0.0012605355299646292</t>
  </si>
  <si>
    <t>0.05546356331844369</t>
  </si>
  <si>
    <t>3.806170754335467</t>
  </si>
  <si>
    <t>25.41082807825229</t>
  </si>
  <si>
    <t>IKBKB;CSF1R;PPP3CA;CREB1;MAP2K7;TNF;SQSTM1;MAP3K14</t>
  </si>
  <si>
    <t>Hippo signaling pathway</t>
  </si>
  <si>
    <t>9/160</t>
  </si>
  <si>
    <t>0.0014170937856158182</t>
  </si>
  <si>
    <t>0.054558110746209</t>
  </si>
  <si>
    <t>3.3987915407854987</t>
  </si>
  <si>
    <t>22.293173795253896</t>
  </si>
  <si>
    <t>YAP1;CRB1;DLG2;WNT2B;CCND1;FZD5;PPP2R2B;WNT8B;GLI2</t>
  </si>
  <si>
    <t>T cell receptor signaling pathway</t>
  </si>
  <si>
    <t>7/101</t>
  </si>
  <si>
    <t>0.0014533219880272208</t>
  </si>
  <si>
    <t>0.049735908034709335</t>
  </si>
  <si>
    <t>4.187729951242859</t>
  </si>
  <si>
    <t>27.362222617966225</t>
  </si>
  <si>
    <t>IKBKB;PPP3CA;CDK4;MAP2K7;TNF;MAP3K14;VAV2</t>
  </si>
  <si>
    <t>beta-Alanine metabolism</t>
  </si>
  <si>
    <t>0.00162885495925071</t>
  </si>
  <si>
    <t>0.050168732744921875</t>
  </si>
  <si>
    <t>7.796511061300069</t>
  </si>
  <si>
    <t>50.05264976126879</t>
  </si>
  <si>
    <t>DPYS;CARNS1;DPYD;UPB1</t>
  </si>
  <si>
    <t>Starch and sucrose metabolism</t>
  </si>
  <si>
    <t>4/36</t>
  </si>
  <si>
    <t>0.002857975774526743</t>
  </si>
  <si>
    <t>0.0800233216867488</t>
  </si>
  <si>
    <t>6.71366230278617</t>
  </si>
  <si>
    <t>39.32622810260567</t>
  </si>
  <si>
    <t>MGAM;SI;PYGM;ENPP3</t>
  </si>
  <si>
    <t>0.003157321852064692</t>
  </si>
  <si>
    <t>0.08103792753632709</t>
  </si>
  <si>
    <t>3.2883243932013895</t>
  </si>
  <si>
    <t>18.934274208099133</t>
  </si>
  <si>
    <t>NOTCH2;NOTCH3;WNT2B;CCND1;FZD5;CDK4;WNT8B;FGF4</t>
  </si>
  <si>
    <t>Cushing syndrome</t>
  </si>
  <si>
    <t>8/155</t>
  </si>
  <si>
    <t>0.004353632216860992</t>
  </si>
  <si>
    <t>0.10314759406101427</t>
  </si>
  <si>
    <t>3.1186044245200275</t>
  </si>
  <si>
    <t>16.955056356805496</t>
  </si>
  <si>
    <t>FH;WNT2B;CREB1;CCND1;FZD5;CDK4;WNT8B;CRHR1</t>
  </si>
  <si>
    <t>Human cytomegalovirus infection</t>
  </si>
  <si>
    <t>10/225</t>
  </si>
  <si>
    <t>0.004416310572510428</t>
  </si>
  <si>
    <t>0.09715883259522941</t>
  </si>
  <si>
    <t>2.6854649211144683</t>
  </si>
  <si>
    <t>14.561800989755952</t>
  </si>
  <si>
    <t>IKBKB;GNA13;PPP3CA;CXCL12;CREB1;CCND1;CDK4;PTGER3;MDM2;TNF</t>
  </si>
  <si>
    <t>0.0046059559103966835</t>
  </si>
  <si>
    <t>0.09457562802681191</t>
  </si>
  <si>
    <t>5.894922997568345</t>
  </si>
  <si>
    <t>31.717073464536668</t>
  </si>
  <si>
    <t>Proteoglycans in cancer</t>
  </si>
  <si>
    <t>9/201</t>
  </si>
  <si>
    <t>0.006454770709875803</t>
  </si>
  <si>
    <t>0.12425433616510921</t>
  </si>
  <si>
    <t>2.7055057041078596</t>
  </si>
  <si>
    <t>13.643691509135552</t>
  </si>
  <si>
    <t>WNT2B;FZD5;CCND1;MDM2;WNT8B;ANK2;TNF;MET;VAV2</t>
  </si>
  <si>
    <t>cGMP-PKG signaling pathway</t>
  </si>
  <si>
    <t>8/166</t>
  </si>
  <si>
    <t>0.006534347015247964</t>
  </si>
  <si>
    <t>0.11838699298213957</t>
  </si>
  <si>
    <t>2.9119499144614718</t>
  </si>
  <si>
    <t>14.64909651819323</t>
  </si>
  <si>
    <t>5/72</t>
  </si>
  <si>
    <t>0.006820538176341454</t>
  </si>
  <si>
    <t>0.11670698657295375</t>
  </si>
  <si>
    <t>4.196038939241356</t>
  </si>
  <si>
    <t>20.92907392897406</t>
  </si>
  <si>
    <t>Hepatocellular carcinoma</t>
  </si>
  <si>
    <t>8/168</t>
  </si>
  <si>
    <t>0.007006581584474403</t>
  </si>
  <si>
    <t>0.11358037515884822</t>
  </si>
  <si>
    <t>2.877283844051216</t>
  </si>
  <si>
    <t>14.27393280192568</t>
  </si>
  <si>
    <t>WNT2B;CCND1;TERT;FZD5;CDK4;WNT8B;ARID1B;MET</t>
  </si>
  <si>
    <t>9/206</t>
  </si>
  <si>
    <t>0.00753440474240746</t>
  </si>
  <si>
    <t>0.11602983303307488</t>
  </si>
  <si>
    <t>2.6398380899304845</t>
  </si>
  <si>
    <t>12.90425572445098</t>
  </si>
  <si>
    <t>0.0031463201627198608</t>
  </si>
  <si>
    <t>0.9690666101177171</t>
  </si>
  <si>
    <t>3.6405242354899103</t>
  </si>
  <si>
    <t>20.97495942341983</t>
  </si>
  <si>
    <t>TUBB8;PDGFRB;TJP1;PRKG2;KRAS;ADCY8;ADCY5</t>
  </si>
  <si>
    <t>0.0035730312707164293</t>
  </si>
  <si>
    <t>0.5502468156903301</t>
  </si>
  <si>
    <t>3.211690553615159</t>
  </si>
  <si>
    <t>18.09575959863317</t>
  </si>
  <si>
    <t>0.00421192893481594</t>
  </si>
  <si>
    <t>0.4324247039744365</t>
  </si>
  <si>
    <t>4.670060243777145</t>
  </si>
  <si>
    <t>25.544456904351236</t>
  </si>
  <si>
    <t>0.004874873797061552</t>
  </si>
  <si>
    <t>0.3753652823737395</t>
  </si>
  <si>
    <t>3.8138825324180012</t>
  </si>
  <si>
    <t>20.30381793535342</t>
  </si>
  <si>
    <t>0.00706649901783049</t>
  </si>
  <si>
    <t>0.43529633949835816</t>
  </si>
  <si>
    <t>3.1408444384618837</t>
  </si>
  <si>
    <t>15.554686934544467</t>
  </si>
  <si>
    <t>15/354</t>
  </si>
  <si>
    <t>0.011545900066114192</t>
  </si>
  <si>
    <t>0.5926895367271952</t>
  </si>
  <si>
    <t>1.9392623046193227</t>
  </si>
  <si>
    <t>8.651873090142416</t>
  </si>
  <si>
    <t>PDGFRB;ANGPT4;FLT1;F2R;BRCA1;OSMR;RPTOR;CCND1;IL7;GNG7;COL4A3;MDM2;KRAS;IL7R;FGFR1</t>
  </si>
  <si>
    <t>Phospholipase D signaling pathway</t>
  </si>
  <si>
    <t>8/148</t>
  </si>
  <si>
    <t>0.016218164806697216</t>
  </si>
  <si>
    <t>0.7135992514946775</t>
  </si>
  <si>
    <t>2.4738697507576224</t>
  </si>
  <si>
    <t>10.196359405156922</t>
  </si>
  <si>
    <t>PDGFRB;F2R;KRAS;DGKK;ADCY8;PLPP2;DGKI;ADCY5</t>
  </si>
  <si>
    <t>0.01914209822563701</t>
  </si>
  <si>
    <t>0.7369707816870248</t>
  </si>
  <si>
    <t>3.8950289692779587</t>
  </si>
  <si>
    <t>15.408209840018811</t>
  </si>
  <si>
    <t>0.020605366377681365</t>
  </si>
  <si>
    <t>0.7051614271473178</t>
  </si>
  <si>
    <t>3.1782354436816678</t>
  </si>
  <si>
    <t>12.33855750489727</t>
  </si>
  <si>
    <t>PDGFRB;CCND1;MDM2;KRAS;FGFR1</t>
  </si>
  <si>
    <t>19/530</t>
  </si>
  <si>
    <t>0.024663224426497925</t>
  </si>
  <si>
    <t>0.7596273123361361</t>
  </si>
  <si>
    <t>1.6406890894175552</t>
  </si>
  <si>
    <t>6.074556250141482</t>
  </si>
  <si>
    <t>JAG2;PDGFRB;CEBPA;ARNT2;TPM3;F2R;ADCY8;ADCY5;TERT;CCND1;TRAF3;IL7;GNG7;COL4A3;MDM2;KRAS;IL7R;IL12RB2;FGFR1</t>
  </si>
  <si>
    <t>Apelin signaling pathway</t>
  </si>
  <si>
    <t>7/137</t>
  </si>
  <si>
    <t>0.031025178435386776</t>
  </si>
  <si>
    <t>0.8687049961908297</t>
  </si>
  <si>
    <t>2.3384389249862196</t>
  </si>
  <si>
    <t>8.121295954821948</t>
  </si>
  <si>
    <t>HDAC5;CCND1;GNG7;KRAS;ADCY8;PPARGC1A;ADCY5</t>
  </si>
  <si>
    <t>8/170</t>
  </si>
  <si>
    <t>0.033576647033115165</t>
  </si>
  <si>
    <t>0.8618006071832892</t>
  </si>
  <si>
    <t>2.153721900659577</t>
  </si>
  <si>
    <t>7.309569487002365</t>
  </si>
  <si>
    <t>TJP1;PCNA;CCND1;MYH15;CACNA1D;CGN;AMOTL1;CD1C</t>
  </si>
  <si>
    <t>Cholinergic synapse</t>
  </si>
  <si>
    <t>6/112</t>
  </si>
  <si>
    <t>0.03636646774272227</t>
  </si>
  <si>
    <t>0.8616055434429585</t>
  </si>
  <si>
    <t>2.4517816279830007</t>
  </si>
  <si>
    <t>8.125469462517545</t>
  </si>
  <si>
    <t>GNG7;CHAT;CACNA1D;KRAS;ADCY8;ADCY5</t>
  </si>
  <si>
    <t>DNA replication</t>
  </si>
  <si>
    <t>0.04346348716611152</t>
  </si>
  <si>
    <t>0.9561967176544535</t>
  </si>
  <si>
    <t>11.959702779756093</t>
  </si>
  <si>
    <t>Glycerolipid metabolism</t>
  </si>
  <si>
    <t>4/61</t>
  </si>
  <si>
    <t>0.044263467769542174</t>
  </si>
  <si>
    <t>0.908876538201266</t>
  </si>
  <si>
    <t>3.001087894361706</t>
  </si>
  <si>
    <t>9.356178407056666</t>
  </si>
  <si>
    <t>LIPG;DGKK;PLPP2;DGKI</t>
  </si>
  <si>
    <t>Thyroid cancer</t>
  </si>
  <si>
    <t>3/37</t>
  </si>
  <si>
    <t>0.046557351808291875</t>
  </si>
  <si>
    <t>0.8962290223096185</t>
  </si>
  <si>
    <t>3.710804626136434</t>
  </si>
  <si>
    <t>11.381298858851581</t>
  </si>
  <si>
    <t>CCND1;TPM3;KRAS</t>
  </si>
  <si>
    <t>Dilated cardiomyopathy (DCM)</t>
  </si>
  <si>
    <t>0.049222915218352585</t>
  </si>
  <si>
    <t>0.8918034051325057</t>
  </si>
  <si>
    <t>2.5146478235723086</t>
  </si>
  <si>
    <t>7.572600416033826</t>
  </si>
  <si>
    <t>TPM3;CACNA1D;ADCY8;MYH6;ADCY5</t>
  </si>
  <si>
    <t>Central carbon metabolism in cancer</t>
  </si>
  <si>
    <t>4/65</t>
  </si>
  <si>
    <t>0.053721691022515644</t>
  </si>
  <si>
    <t>0.9192378241630456</t>
  </si>
  <si>
    <t>2.816405562400986</t>
  </si>
  <si>
    <t>8.23499645659329</t>
  </si>
  <si>
    <t>PDGFRB;PFKL;KRAS;FGFR1</t>
  </si>
  <si>
    <t>0.059975613082874094</t>
  </si>
  <si>
    <t>0.972236254185538</t>
  </si>
  <si>
    <t>3.3487749065133667</t>
  </si>
  <si>
    <t>9.422840591621688</t>
  </si>
  <si>
    <t>Circadian entrainment</t>
  </si>
  <si>
    <t>5/97</t>
  </si>
  <si>
    <t>0.061513115098266076</t>
  </si>
  <si>
    <t>0.9473019725132975</t>
  </si>
  <si>
    <t>2.3591025973719595</t>
  </si>
  <si>
    <t>6.578369089326583</t>
  </si>
  <si>
    <t>Relapse all -  alterations</t>
  </si>
  <si>
    <t>Relapse - Novel alterations</t>
  </si>
  <si>
    <t>Diagnosis - all alterations</t>
  </si>
  <si>
    <t>Sample</t>
  </si>
  <si>
    <t>MEAN_COVERAGE</t>
  </si>
  <si>
    <t>SD_COVERAGE</t>
  </si>
  <si>
    <t>MEDIAN_COVERAGE</t>
  </si>
  <si>
    <t>PCT_1X</t>
  </si>
  <si>
    <t>PCT_5X</t>
  </si>
  <si>
    <t>PCT_10X</t>
  </si>
  <si>
    <t>PCT_15X</t>
  </si>
  <si>
    <t>PCT_20X</t>
  </si>
  <si>
    <t>PCT_25X</t>
  </si>
  <si>
    <t>PCT_30X</t>
  </si>
  <si>
    <t>PCT_40X</t>
  </si>
  <si>
    <t>PCT_50X</t>
  </si>
  <si>
    <t>PCT_60X</t>
  </si>
  <si>
    <t>PCT_70X</t>
  </si>
  <si>
    <t>PCT_80X</t>
  </si>
  <si>
    <t>PCT_90X</t>
  </si>
  <si>
    <t>PCT_100X</t>
  </si>
  <si>
    <t>Constitutional Average</t>
  </si>
  <si>
    <t>Constitutional Range</t>
  </si>
  <si>
    <t>(35,3-70,1)</t>
  </si>
  <si>
    <t>(11,0-18,9)</t>
  </si>
  <si>
    <t>(36-72)</t>
  </si>
  <si>
    <t>Tumor Average</t>
  </si>
  <si>
    <t>Tumor Range</t>
  </si>
  <si>
    <t>(32,1-93,0)</t>
  </si>
  <si>
    <t>(14,8-33,2)</t>
  </si>
  <si>
    <t>(33-93)</t>
  </si>
  <si>
    <t>Supplemental table 1. Average coverage from sequencing</t>
  </si>
  <si>
    <t>Supplemental table 2 - Genes analysed in constitutional DNA</t>
  </si>
  <si>
    <t>Supplemental table 5: Top 20 KEGG pathway enrichment</t>
  </si>
  <si>
    <t>Supplemental Table 3: Nonsynonymous somatic variants</t>
  </si>
  <si>
    <t>NB60R6</t>
  </si>
  <si>
    <t>NB67R5</t>
  </si>
  <si>
    <t>NB67R9</t>
  </si>
  <si>
    <t>NB63R4</t>
  </si>
  <si>
    <t>NB59R9</t>
  </si>
  <si>
    <t>NB53R2</t>
  </si>
  <si>
    <t>NB69R8</t>
  </si>
  <si>
    <t>NB69R8 - Diagnosis</t>
  </si>
  <si>
    <t>NB69R8 - Relapse</t>
  </si>
  <si>
    <t>NB60R6 - Diagnosis</t>
  </si>
  <si>
    <t>NB60R6 - Relapse</t>
  </si>
  <si>
    <t>NB67R5 - Diagnosis</t>
  </si>
  <si>
    <t>NB67R5 - Relapse</t>
  </si>
  <si>
    <t>NB67R9 - Diagnosis</t>
  </si>
  <si>
    <t>NB67R9 - Relapse</t>
  </si>
  <si>
    <t>NB59R9 - Diagnosis</t>
  </si>
  <si>
    <t>NB59R9 - Relapse</t>
  </si>
  <si>
    <t>NB53R2 - Diagnosis</t>
  </si>
  <si>
    <t>NB53R2 - Relapse</t>
  </si>
  <si>
    <t>NB63R4 - Diagnosis</t>
  </si>
  <si>
    <t>NB63R4 - Relapse</t>
  </si>
  <si>
    <t>NB59R8</t>
  </si>
  <si>
    <t>NB60R6 - Normal</t>
  </si>
  <si>
    <t>NB67R5 - Normal</t>
  </si>
  <si>
    <t>NB67R9 - Normal</t>
  </si>
  <si>
    <t>NB63R4 - Normal</t>
  </si>
  <si>
    <t>NB59R9 - Normal</t>
  </si>
  <si>
    <t>NB53R2 - Normal</t>
  </si>
  <si>
    <t>NB69R8 - Normal</t>
  </si>
  <si>
    <t>ExAC Frequency</t>
  </si>
  <si>
    <t>gnomAD Frequency</t>
  </si>
  <si>
    <t>CRYBG1 (AIM1)</t>
  </si>
  <si>
    <t xml:space="preserve"> Splice Site</t>
  </si>
  <si>
    <t xml:space="preserve">dbSNP ID </t>
  </si>
  <si>
    <t>0.002</t>
  </si>
  <si>
    <t>0.001</t>
  </si>
  <si>
    <t>0.02</t>
  </si>
  <si>
    <t>0.007</t>
  </si>
  <si>
    <t>0.005</t>
  </si>
  <si>
    <t>0.004</t>
  </si>
  <si>
    <t>0.003</t>
  </si>
  <si>
    <t>0.038</t>
  </si>
  <si>
    <t>0.027</t>
  </si>
  <si>
    <t>0.039</t>
  </si>
  <si>
    <t>0.055</t>
  </si>
  <si>
    <t>0.464</t>
  </si>
  <si>
    <t>0.404</t>
  </si>
  <si>
    <t>0.044</t>
  </si>
  <si>
    <t>1.737</t>
  </si>
  <si>
    <t>0.589</t>
  </si>
  <si>
    <t>0.624</t>
  </si>
  <si>
    <t>0.821</t>
  </si>
  <si>
    <t>2.294</t>
  </si>
  <si>
    <t>0.347</t>
  </si>
  <si>
    <t>0.393</t>
  </si>
  <si>
    <t>0.014</t>
  </si>
  <si>
    <t>0.009</t>
  </si>
  <si>
    <t>0.123</t>
  </si>
  <si>
    <t>0.087</t>
  </si>
  <si>
    <t>0.098</t>
  </si>
  <si>
    <t>0.1</t>
  </si>
  <si>
    <t>0.068</t>
  </si>
  <si>
    <t>0.192</t>
  </si>
  <si>
    <t>0.16</t>
  </si>
  <si>
    <t>0.018</t>
  </si>
  <si>
    <t>0.19</t>
  </si>
  <si>
    <t>0.046</t>
  </si>
  <si>
    <t>0.026</t>
  </si>
  <si>
    <t>0.022</t>
  </si>
  <si>
    <t>0.321</t>
  </si>
  <si>
    <t>1.019</t>
  </si>
  <si>
    <t>0.006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</si>
</sst>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72" formatCode="0.0000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3"/>
      <name val="Calibri"/>
      <family val="2"/>
      <scheme val="minor"/>
    </font>
    <font>
      <b/>
      <sz val="13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3"/>
      <name val="Calibri"/>
      <family val="2"/>
      <scheme val="minor"/>
    </font>
    <font>
      <i/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6" fillId="0" borderId="0"/>
    <xf numFmtId="9" fontId="1" fillId="0" borderId="0" applyFont="0" applyFill="0" applyBorder="0" applyAlignment="0" applyProtection="0"/>
  </cellStyleXfs>
  <cellXfs count="485">
    <xf numFmtId="0" fontId="0" fillId="0" borderId="0" xfId="0"/>
    <xf numFmtId="0" fontId="9" fillId="7" borderId="0" xfId="0" applyFont="1" applyFill="1" applyBorder="1" applyAlignment="1">
      <alignment vertical="center"/>
    </xf>
    <xf numFmtId="0" fontId="9" fillId="7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right" vertical="center"/>
    </xf>
    <xf numFmtId="0" fontId="10" fillId="7" borderId="0" xfId="0" applyFont="1" applyFill="1" applyBorder="1" applyAlignment="1">
      <alignment vertical="center"/>
    </xf>
    <xf numFmtId="0" fontId="9" fillId="7" borderId="0" xfId="0" applyFont="1" applyFill="1" applyBorder="1" applyAlignment="1">
      <alignment vertical="center" wrapText="1"/>
    </xf>
    <xf numFmtId="164" fontId="9" fillId="7" borderId="0" xfId="0" applyNumberFormat="1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left" vertical="center"/>
    </xf>
    <xf numFmtId="0" fontId="9" fillId="8" borderId="0" xfId="0" applyFont="1" applyFill="1" applyBorder="1" applyAlignment="1">
      <alignment vertical="center"/>
    </xf>
    <xf numFmtId="0" fontId="9" fillId="8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right" vertical="center"/>
    </xf>
    <xf numFmtId="0" fontId="10" fillId="8" borderId="0" xfId="0" applyFont="1" applyFill="1" applyBorder="1" applyAlignment="1">
      <alignment vertical="center"/>
    </xf>
    <xf numFmtId="0" fontId="9" fillId="8" borderId="0" xfId="0" applyFont="1" applyFill="1" applyBorder="1" applyAlignment="1">
      <alignment vertical="center" wrapText="1"/>
    </xf>
    <xf numFmtId="164" fontId="9" fillId="8" borderId="0" xfId="0" applyNumberFormat="1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left" vertical="center"/>
    </xf>
    <xf numFmtId="0" fontId="9" fillId="9" borderId="0" xfId="0" applyFont="1" applyFill="1" applyBorder="1" applyAlignment="1">
      <alignment horizontal="center" vertical="center"/>
    </xf>
    <xf numFmtId="0" fontId="9" fillId="9" borderId="0" xfId="0" applyFont="1" applyFill="1" applyBorder="1"/>
    <xf numFmtId="0" fontId="9" fillId="9" borderId="0" xfId="0" applyFont="1" applyFill="1" applyBorder="1" applyAlignment="1">
      <alignment horizontal="center"/>
    </xf>
    <xf numFmtId="0" fontId="10" fillId="9" borderId="0" xfId="0" applyFont="1" applyFill="1" applyBorder="1" applyAlignment="1">
      <alignment horizontal="left"/>
    </xf>
    <xf numFmtId="164" fontId="9" fillId="9" borderId="0" xfId="0" applyNumberFormat="1" applyFont="1" applyFill="1" applyBorder="1" applyAlignment="1">
      <alignment horizontal="center"/>
    </xf>
    <xf numFmtId="0" fontId="9" fillId="9" borderId="0" xfId="0" applyFont="1" applyFill="1" applyBorder="1" applyAlignment="1">
      <alignment horizontal="left"/>
    </xf>
    <xf numFmtId="0" fontId="0" fillId="9" borderId="0" xfId="0" applyFont="1" applyFill="1" applyBorder="1"/>
    <xf numFmtId="0" fontId="9" fillId="10" borderId="0" xfId="0" applyFont="1" applyFill="1" applyBorder="1" applyAlignment="1">
      <alignment vertical="center"/>
    </xf>
    <xf numFmtId="0" fontId="9" fillId="10" borderId="0" xfId="0" applyFont="1" applyFill="1" applyBorder="1" applyAlignment="1">
      <alignment horizontal="center" vertical="center"/>
    </xf>
    <xf numFmtId="0" fontId="9" fillId="10" borderId="0" xfId="0" applyFont="1" applyFill="1" applyBorder="1"/>
    <xf numFmtId="0" fontId="9" fillId="10" borderId="0" xfId="0" applyFont="1" applyFill="1" applyBorder="1" applyAlignment="1">
      <alignment horizontal="center"/>
    </xf>
    <xf numFmtId="0" fontId="10" fillId="10" borderId="0" xfId="0" applyFont="1" applyFill="1" applyBorder="1" applyAlignment="1">
      <alignment horizontal="left"/>
    </xf>
    <xf numFmtId="164" fontId="9" fillId="10" borderId="0" xfId="0" applyNumberFormat="1" applyFont="1" applyFill="1" applyBorder="1" applyAlignment="1">
      <alignment horizontal="center"/>
    </xf>
    <xf numFmtId="0" fontId="9" fillId="10" borderId="0" xfId="0" applyFont="1" applyFill="1" applyBorder="1" applyAlignment="1">
      <alignment horizontal="left"/>
    </xf>
    <xf numFmtId="0" fontId="9" fillId="10" borderId="0" xfId="1" applyFont="1" applyFill="1" applyBorder="1" applyAlignment="1">
      <alignment horizontal="center"/>
    </xf>
    <xf numFmtId="0" fontId="9" fillId="10" borderId="0" xfId="1" applyFont="1" applyFill="1" applyBorder="1"/>
    <xf numFmtId="0" fontId="10" fillId="10" borderId="0" xfId="1" applyFont="1" applyFill="1" applyBorder="1" applyAlignment="1">
      <alignment horizontal="left"/>
    </xf>
    <xf numFmtId="164" fontId="9" fillId="10" borderId="0" xfId="1" applyNumberFormat="1" applyFont="1" applyFill="1" applyBorder="1" applyAlignment="1">
      <alignment horizontal="center"/>
    </xf>
    <xf numFmtId="0" fontId="9" fillId="11" borderId="0" xfId="0" applyFont="1" applyFill="1" applyBorder="1" applyAlignment="1">
      <alignment vertical="center"/>
    </xf>
    <xf numFmtId="0" fontId="9" fillId="12" borderId="0" xfId="0" applyFont="1" applyFill="1" applyBorder="1" applyAlignment="1">
      <alignment vertical="center"/>
    </xf>
    <xf numFmtId="0" fontId="9" fillId="12" borderId="0" xfId="0" applyFont="1" applyFill="1" applyBorder="1" applyAlignment="1">
      <alignment horizontal="center" vertical="center"/>
    </xf>
    <xf numFmtId="0" fontId="9" fillId="12" borderId="0" xfId="0" applyFont="1" applyFill="1" applyBorder="1" applyAlignment="1">
      <alignment horizontal="right" vertical="center"/>
    </xf>
    <xf numFmtId="0" fontId="10" fillId="12" borderId="0" xfId="0" applyFont="1" applyFill="1" applyBorder="1" applyAlignment="1">
      <alignment vertical="center"/>
    </xf>
    <xf numFmtId="0" fontId="9" fillId="12" borderId="0" xfId="0" applyFont="1" applyFill="1" applyBorder="1" applyAlignment="1">
      <alignment vertical="center" wrapText="1"/>
    </xf>
    <xf numFmtId="164" fontId="9" fillId="12" borderId="0" xfId="0" applyNumberFormat="1" applyFont="1" applyFill="1" applyBorder="1" applyAlignment="1">
      <alignment horizontal="center" vertical="center"/>
    </xf>
    <xf numFmtId="0" fontId="9" fillId="12" borderId="0" xfId="0" applyFont="1" applyFill="1" applyBorder="1" applyAlignment="1">
      <alignment horizontal="left" vertical="center"/>
    </xf>
    <xf numFmtId="0" fontId="9" fillId="13" borderId="0" xfId="0" applyFont="1" applyFill="1" applyBorder="1" applyAlignment="1">
      <alignment vertical="center"/>
    </xf>
    <xf numFmtId="0" fontId="9" fillId="13" borderId="0" xfId="0" applyFont="1" applyFill="1" applyBorder="1" applyAlignment="1">
      <alignment horizontal="center" vertical="center"/>
    </xf>
    <xf numFmtId="0" fontId="9" fillId="13" borderId="0" xfId="0" applyFont="1" applyFill="1" applyBorder="1" applyAlignment="1">
      <alignment horizontal="right" vertical="center"/>
    </xf>
    <xf numFmtId="0" fontId="10" fillId="13" borderId="0" xfId="0" applyFont="1" applyFill="1" applyBorder="1" applyAlignment="1">
      <alignment vertical="center"/>
    </xf>
    <xf numFmtId="0" fontId="9" fillId="13" borderId="0" xfId="0" applyFont="1" applyFill="1" applyBorder="1" applyAlignment="1">
      <alignment vertical="center" wrapText="1"/>
    </xf>
    <xf numFmtId="164" fontId="9" fillId="13" borderId="0" xfId="0" applyNumberFormat="1" applyFont="1" applyFill="1" applyBorder="1" applyAlignment="1">
      <alignment horizontal="center" vertical="center"/>
    </xf>
    <xf numFmtId="0" fontId="9" fillId="13" borderId="0" xfId="0" applyFont="1" applyFill="1" applyBorder="1" applyAlignment="1">
      <alignment horizontal="left" vertical="center"/>
    </xf>
    <xf numFmtId="0" fontId="9" fillId="14" borderId="0" xfId="0" applyFont="1" applyFill="1" applyBorder="1" applyAlignment="1">
      <alignment vertical="center"/>
    </xf>
    <xf numFmtId="0" fontId="9" fillId="14" borderId="0" xfId="0" applyFont="1" applyFill="1" applyBorder="1" applyAlignment="1">
      <alignment horizontal="center" vertical="center"/>
    </xf>
    <xf numFmtId="0" fontId="9" fillId="14" borderId="0" xfId="0" applyFont="1" applyFill="1" applyBorder="1" applyAlignment="1">
      <alignment horizontal="right" vertical="center"/>
    </xf>
    <xf numFmtId="0" fontId="10" fillId="14" borderId="0" xfId="0" applyFont="1" applyFill="1" applyBorder="1" applyAlignment="1">
      <alignment vertical="center"/>
    </xf>
    <xf numFmtId="0" fontId="9" fillId="14" borderId="0" xfId="0" applyFont="1" applyFill="1" applyBorder="1" applyAlignment="1">
      <alignment vertical="center" wrapText="1"/>
    </xf>
    <xf numFmtId="164" fontId="9" fillId="14" borderId="0" xfId="0" applyNumberFormat="1" applyFont="1" applyFill="1" applyBorder="1" applyAlignment="1">
      <alignment horizontal="center" vertical="center"/>
    </xf>
    <xf numFmtId="0" fontId="9" fillId="14" borderId="0" xfId="0" applyFont="1" applyFill="1" applyBorder="1" applyAlignment="1">
      <alignment horizontal="left" vertical="center"/>
    </xf>
    <xf numFmtId="0" fontId="9" fillId="15" borderId="0" xfId="0" applyFont="1" applyFill="1" applyBorder="1" applyAlignment="1">
      <alignment horizontal="center" vertical="center"/>
    </xf>
    <xf numFmtId="0" fontId="9" fillId="15" borderId="0" xfId="0" applyFont="1" applyFill="1" applyBorder="1" applyAlignment="1">
      <alignment horizontal="right" vertical="center"/>
    </xf>
    <xf numFmtId="0" fontId="9" fillId="15" borderId="0" xfId="0" applyFont="1" applyFill="1" applyBorder="1" applyAlignment="1">
      <alignment vertical="center"/>
    </xf>
    <xf numFmtId="0" fontId="10" fillId="15" borderId="0" xfId="0" applyFont="1" applyFill="1" applyBorder="1" applyAlignment="1">
      <alignment vertical="center"/>
    </xf>
    <xf numFmtId="0" fontId="9" fillId="15" borderId="0" xfId="0" applyFont="1" applyFill="1" applyBorder="1" applyAlignment="1">
      <alignment vertical="center" wrapText="1"/>
    </xf>
    <xf numFmtId="164" fontId="9" fillId="15" borderId="0" xfId="0" applyNumberFormat="1" applyFont="1" applyFill="1" applyBorder="1" applyAlignment="1">
      <alignment horizontal="center" vertical="center"/>
    </xf>
    <xf numFmtId="0" fontId="9" fillId="15" borderId="0" xfId="0" applyFont="1" applyFill="1" applyBorder="1" applyAlignment="1">
      <alignment horizontal="left" vertical="center"/>
    </xf>
    <xf numFmtId="0" fontId="9" fillId="16" borderId="0" xfId="2" applyFont="1" applyFill="1" applyBorder="1" applyAlignment="1">
      <alignment horizontal="left" vertical="center"/>
    </xf>
    <xf numFmtId="0" fontId="9" fillId="16" borderId="0" xfId="2" applyFont="1" applyFill="1" applyBorder="1" applyAlignment="1">
      <alignment horizontal="center" vertical="center"/>
    </xf>
    <xf numFmtId="0" fontId="9" fillId="16" borderId="0" xfId="2" applyFont="1" applyFill="1" applyBorder="1" applyAlignment="1">
      <alignment horizontal="right" vertical="center"/>
    </xf>
    <xf numFmtId="0" fontId="9" fillId="16" borderId="0" xfId="2" applyFont="1" applyFill="1" applyBorder="1" applyAlignment="1">
      <alignment vertical="center"/>
    </xf>
    <xf numFmtId="0" fontId="10" fillId="16" borderId="0" xfId="2" applyFont="1" applyFill="1" applyBorder="1" applyAlignment="1">
      <alignment vertical="center"/>
    </xf>
    <xf numFmtId="0" fontId="9" fillId="16" borderId="0" xfId="2" applyFont="1" applyFill="1" applyBorder="1" applyAlignment="1">
      <alignment vertical="center" wrapText="1"/>
    </xf>
    <xf numFmtId="164" fontId="9" fillId="16" borderId="0" xfId="2" applyNumberFormat="1" applyFont="1" applyFill="1" applyBorder="1" applyAlignment="1">
      <alignment horizontal="center" vertical="center"/>
    </xf>
    <xf numFmtId="0" fontId="9" fillId="16" borderId="0" xfId="0" applyFont="1" applyFill="1" applyBorder="1" applyAlignment="1">
      <alignment vertical="center"/>
    </xf>
    <xf numFmtId="0" fontId="9" fillId="16" borderId="0" xfId="0" applyFont="1" applyFill="1" applyBorder="1" applyAlignment="1">
      <alignment horizontal="center" vertical="center"/>
    </xf>
    <xf numFmtId="0" fontId="9" fillId="16" borderId="0" xfId="0" applyFont="1" applyFill="1" applyBorder="1" applyAlignment="1">
      <alignment horizontal="right" vertical="center"/>
    </xf>
    <xf numFmtId="0" fontId="10" fillId="16" borderId="0" xfId="0" applyFont="1" applyFill="1" applyBorder="1" applyAlignment="1">
      <alignment vertical="center"/>
    </xf>
    <xf numFmtId="0" fontId="9" fillId="16" borderId="0" xfId="0" applyFont="1" applyFill="1" applyBorder="1" applyAlignment="1">
      <alignment vertical="center" wrapText="1"/>
    </xf>
    <xf numFmtId="164" fontId="9" fillId="16" borderId="0" xfId="0" applyNumberFormat="1" applyFont="1" applyFill="1" applyBorder="1" applyAlignment="1">
      <alignment horizontal="center" vertical="center"/>
    </xf>
    <xf numFmtId="0" fontId="9" fillId="16" borderId="0" xfId="0" applyFont="1" applyFill="1" applyBorder="1" applyAlignment="1">
      <alignment horizontal="left" vertical="center"/>
    </xf>
    <xf numFmtId="0" fontId="9" fillId="17" borderId="0" xfId="2" applyFont="1" applyFill="1" applyBorder="1" applyAlignment="1">
      <alignment horizontal="left" vertical="center"/>
    </xf>
    <xf numFmtId="0" fontId="9" fillId="17" borderId="0" xfId="0" applyFont="1" applyFill="1" applyBorder="1" applyAlignment="1">
      <alignment horizontal="center" vertical="center"/>
    </xf>
    <xf numFmtId="0" fontId="9" fillId="17" borderId="0" xfId="0" applyFont="1" applyFill="1" applyBorder="1" applyAlignment="1">
      <alignment horizontal="right" vertical="center"/>
    </xf>
    <xf numFmtId="0" fontId="9" fillId="17" borderId="0" xfId="0" applyFont="1" applyFill="1" applyBorder="1" applyAlignment="1">
      <alignment vertical="center"/>
    </xf>
    <xf numFmtId="0" fontId="10" fillId="17" borderId="0" xfId="0" applyFont="1" applyFill="1" applyBorder="1" applyAlignment="1">
      <alignment vertical="center"/>
    </xf>
    <xf numFmtId="0" fontId="9" fillId="17" borderId="0" xfId="0" applyFont="1" applyFill="1" applyBorder="1" applyAlignment="1">
      <alignment vertical="center" wrapText="1"/>
    </xf>
    <xf numFmtId="164" fontId="9" fillId="17" borderId="0" xfId="0" applyNumberFormat="1" applyFont="1" applyFill="1" applyBorder="1" applyAlignment="1">
      <alignment horizontal="center" vertical="center"/>
    </xf>
    <xf numFmtId="0" fontId="9" fillId="17" borderId="0" xfId="0" applyFont="1" applyFill="1" applyBorder="1" applyAlignment="1">
      <alignment horizontal="left" vertical="center"/>
    </xf>
    <xf numFmtId="0" fontId="9" fillId="17" borderId="0" xfId="2" applyFont="1" applyFill="1" applyBorder="1" applyAlignment="1">
      <alignment vertical="center"/>
    </xf>
    <xf numFmtId="0" fontId="9" fillId="17" borderId="0" xfId="2" applyFont="1" applyFill="1" applyBorder="1" applyAlignment="1">
      <alignment horizontal="center" vertical="center"/>
    </xf>
    <xf numFmtId="0" fontId="9" fillId="17" borderId="0" xfId="2" applyFont="1" applyFill="1" applyBorder="1" applyAlignment="1">
      <alignment horizontal="right" vertical="center"/>
    </xf>
    <xf numFmtId="0" fontId="10" fillId="17" borderId="0" xfId="2" applyFont="1" applyFill="1" applyBorder="1" applyAlignment="1">
      <alignment vertical="center"/>
    </xf>
    <xf numFmtId="0" fontId="9" fillId="17" borderId="0" xfId="2" applyFont="1" applyFill="1" applyBorder="1" applyAlignment="1">
      <alignment vertical="center" wrapText="1"/>
    </xf>
    <xf numFmtId="164" fontId="9" fillId="17" borderId="0" xfId="2" applyNumberFormat="1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right" vertical="center"/>
    </xf>
    <xf numFmtId="0" fontId="10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 wrapText="1"/>
    </xf>
    <xf numFmtId="164" fontId="9" fillId="18" borderId="0" xfId="0" applyNumberFormat="1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left" vertical="center"/>
    </xf>
    <xf numFmtId="0" fontId="9" fillId="19" borderId="0" xfId="0" applyFont="1" applyFill="1" applyBorder="1" applyAlignment="1">
      <alignment vertical="center"/>
    </xf>
    <xf numFmtId="0" fontId="9" fillId="19" borderId="0" xfId="2" applyFont="1" applyFill="1" applyBorder="1" applyAlignment="1">
      <alignment horizontal="center" vertical="center"/>
    </xf>
    <xf numFmtId="0" fontId="9" fillId="19" borderId="0" xfId="2" applyFont="1" applyFill="1" applyBorder="1" applyAlignment="1">
      <alignment horizontal="right" vertical="center"/>
    </xf>
    <xf numFmtId="0" fontId="9" fillId="19" borderId="0" xfId="2" applyFont="1" applyFill="1" applyBorder="1" applyAlignment="1">
      <alignment vertical="center"/>
    </xf>
    <xf numFmtId="0" fontId="10" fillId="19" borderId="0" xfId="2" applyFont="1" applyFill="1" applyBorder="1" applyAlignment="1">
      <alignment vertical="center"/>
    </xf>
    <xf numFmtId="0" fontId="9" fillId="19" borderId="0" xfId="2" applyFont="1" applyFill="1" applyBorder="1" applyAlignment="1">
      <alignment vertical="center" wrapText="1"/>
    </xf>
    <xf numFmtId="164" fontId="9" fillId="19" borderId="0" xfId="2" applyNumberFormat="1" applyFont="1" applyFill="1" applyBorder="1" applyAlignment="1">
      <alignment horizontal="center" vertical="center"/>
    </xf>
    <xf numFmtId="0" fontId="9" fillId="19" borderId="0" xfId="2" applyFont="1" applyFill="1" applyBorder="1" applyAlignment="1">
      <alignment horizontal="left" vertical="center"/>
    </xf>
    <xf numFmtId="0" fontId="9" fillId="19" borderId="0" xfId="0" applyFont="1" applyFill="1" applyBorder="1" applyAlignment="1">
      <alignment horizontal="center" vertical="center"/>
    </xf>
    <xf numFmtId="0" fontId="9" fillId="19" borderId="0" xfId="0" applyFont="1" applyFill="1" applyBorder="1" applyAlignment="1">
      <alignment horizontal="right" vertical="center"/>
    </xf>
    <xf numFmtId="0" fontId="10" fillId="19" borderId="0" xfId="0" applyFont="1" applyFill="1" applyBorder="1" applyAlignment="1">
      <alignment vertical="center"/>
    </xf>
    <xf numFmtId="0" fontId="9" fillId="19" borderId="0" xfId="0" applyFont="1" applyFill="1" applyBorder="1" applyAlignment="1">
      <alignment vertical="center" wrapText="1"/>
    </xf>
    <xf numFmtId="164" fontId="9" fillId="19" borderId="0" xfId="0" applyNumberFormat="1" applyFont="1" applyFill="1" applyBorder="1" applyAlignment="1">
      <alignment horizontal="center" vertical="center"/>
    </xf>
    <xf numFmtId="0" fontId="9" fillId="19" borderId="0" xfId="0" applyFont="1" applyFill="1" applyBorder="1" applyAlignment="1">
      <alignment horizontal="left" vertical="center"/>
    </xf>
    <xf numFmtId="0" fontId="9" fillId="20" borderId="0" xfId="0" applyFont="1" applyFill="1" applyBorder="1" applyAlignment="1">
      <alignment vertical="center"/>
    </xf>
    <xf numFmtId="0" fontId="9" fillId="20" borderId="0" xfId="0" applyFont="1" applyFill="1" applyBorder="1" applyAlignment="1">
      <alignment horizontal="center" vertical="center"/>
    </xf>
    <xf numFmtId="0" fontId="9" fillId="20" borderId="0" xfId="0" applyFont="1" applyFill="1" applyBorder="1" applyAlignment="1">
      <alignment horizontal="right" vertical="center"/>
    </xf>
    <xf numFmtId="0" fontId="10" fillId="20" borderId="0" xfId="0" applyFont="1" applyFill="1" applyBorder="1" applyAlignment="1">
      <alignment vertical="center"/>
    </xf>
    <xf numFmtId="0" fontId="9" fillId="20" borderId="0" xfId="0" applyFont="1" applyFill="1" applyBorder="1" applyAlignment="1">
      <alignment vertical="center" wrapText="1"/>
    </xf>
    <xf numFmtId="164" fontId="9" fillId="20" borderId="0" xfId="0" applyNumberFormat="1" applyFont="1" applyFill="1" applyBorder="1" applyAlignment="1">
      <alignment horizontal="center" vertical="center"/>
    </xf>
    <xf numFmtId="0" fontId="9" fillId="20" borderId="0" xfId="0" applyFont="1" applyFill="1" applyBorder="1" applyAlignment="1">
      <alignment horizontal="left" vertical="center"/>
    </xf>
    <xf numFmtId="0" fontId="9" fillId="21" borderId="0" xfId="0" applyFont="1" applyFill="1" applyBorder="1" applyAlignment="1">
      <alignment vertical="center"/>
    </xf>
    <xf numFmtId="0" fontId="9" fillId="21" borderId="0" xfId="0" applyFont="1" applyFill="1" applyBorder="1" applyAlignment="1">
      <alignment horizontal="center" vertical="center"/>
    </xf>
    <xf numFmtId="0" fontId="9" fillId="21" borderId="0" xfId="0" applyFont="1" applyFill="1" applyBorder="1" applyAlignment="1">
      <alignment horizontal="right" vertical="center"/>
    </xf>
    <xf numFmtId="0" fontId="10" fillId="21" borderId="0" xfId="0" applyFont="1" applyFill="1" applyBorder="1" applyAlignment="1">
      <alignment vertical="center"/>
    </xf>
    <xf numFmtId="0" fontId="9" fillId="21" borderId="0" xfId="0" applyFont="1" applyFill="1" applyBorder="1" applyAlignment="1">
      <alignment vertical="center" wrapText="1"/>
    </xf>
    <xf numFmtId="164" fontId="9" fillId="21" borderId="0" xfId="0" applyNumberFormat="1" applyFont="1" applyFill="1" applyBorder="1" applyAlignment="1">
      <alignment horizontal="center" vertical="center"/>
    </xf>
    <xf numFmtId="0" fontId="9" fillId="21" borderId="0" xfId="0" applyFont="1" applyFill="1" applyBorder="1" applyAlignment="1">
      <alignment horizontal="left" vertical="center"/>
    </xf>
    <xf numFmtId="0" fontId="9" fillId="22" borderId="0" xfId="0" applyFont="1" applyFill="1" applyBorder="1" applyAlignment="1">
      <alignment vertical="center"/>
    </xf>
    <xf numFmtId="0" fontId="9" fillId="22" borderId="0" xfId="0" applyFont="1" applyFill="1" applyBorder="1" applyAlignment="1">
      <alignment horizontal="center" vertical="center"/>
    </xf>
    <xf numFmtId="0" fontId="9" fillId="22" borderId="0" xfId="0" applyFont="1" applyFill="1" applyBorder="1" applyAlignment="1">
      <alignment horizontal="right" vertical="center"/>
    </xf>
    <xf numFmtId="0" fontId="10" fillId="22" borderId="0" xfId="0" applyFont="1" applyFill="1" applyBorder="1" applyAlignment="1">
      <alignment vertical="center"/>
    </xf>
    <xf numFmtId="0" fontId="9" fillId="22" borderId="0" xfId="0" applyFont="1" applyFill="1" applyBorder="1" applyAlignment="1">
      <alignment vertical="center" wrapText="1"/>
    </xf>
    <xf numFmtId="164" fontId="9" fillId="22" borderId="0" xfId="0" applyNumberFormat="1" applyFont="1" applyFill="1" applyBorder="1" applyAlignment="1">
      <alignment horizontal="center" vertical="center"/>
    </xf>
    <xf numFmtId="0" fontId="9" fillId="22" borderId="0" xfId="0" applyFont="1" applyFill="1" applyBorder="1" applyAlignment="1">
      <alignment horizontal="left" vertical="center"/>
    </xf>
    <xf numFmtId="0" fontId="9" fillId="22" borderId="0" xfId="1" applyFont="1" applyFill="1" applyBorder="1" applyAlignment="1">
      <alignment horizontal="center" vertical="center"/>
    </xf>
    <xf numFmtId="0" fontId="9" fillId="22" borderId="0" xfId="1" applyFont="1" applyFill="1" applyBorder="1" applyAlignment="1">
      <alignment horizontal="right" vertical="center"/>
    </xf>
    <xf numFmtId="0" fontId="9" fillId="22" borderId="0" xfId="1" applyFont="1" applyFill="1" applyBorder="1" applyAlignment="1">
      <alignment vertical="center"/>
    </xf>
    <xf numFmtId="0" fontId="10" fillId="22" borderId="0" xfId="1" applyFont="1" applyFill="1" applyBorder="1" applyAlignment="1">
      <alignment vertical="center"/>
    </xf>
    <xf numFmtId="0" fontId="9" fillId="22" borderId="0" xfId="1" applyFont="1" applyFill="1" applyBorder="1" applyAlignment="1">
      <alignment vertical="center" wrapText="1"/>
    </xf>
    <xf numFmtId="164" fontId="9" fillId="22" borderId="0" xfId="1" applyNumberFormat="1" applyFont="1" applyFill="1" applyBorder="1" applyAlignment="1">
      <alignment horizontal="center" vertical="center"/>
    </xf>
    <xf numFmtId="0" fontId="9" fillId="22" borderId="0" xfId="1" applyFont="1" applyFill="1" applyBorder="1" applyAlignment="1">
      <alignment horizontal="left" vertical="center"/>
    </xf>
    <xf numFmtId="0" fontId="9" fillId="23" borderId="0" xfId="0" applyFont="1" applyFill="1" applyBorder="1" applyAlignment="1">
      <alignment vertical="center"/>
    </xf>
    <xf numFmtId="0" fontId="9" fillId="23" borderId="0" xfId="0" applyFont="1" applyFill="1" applyBorder="1" applyAlignment="1">
      <alignment horizontal="center" vertical="center"/>
    </xf>
    <xf numFmtId="0" fontId="9" fillId="23" borderId="0" xfId="0" applyFont="1" applyFill="1" applyBorder="1" applyAlignment="1">
      <alignment horizontal="right" vertical="center"/>
    </xf>
    <xf numFmtId="0" fontId="10" fillId="23" borderId="0" xfId="0" applyFont="1" applyFill="1" applyBorder="1" applyAlignment="1">
      <alignment vertical="center"/>
    </xf>
    <xf numFmtId="0" fontId="9" fillId="23" borderId="0" xfId="0" applyFont="1" applyFill="1" applyBorder="1" applyAlignment="1">
      <alignment vertical="center" wrapText="1"/>
    </xf>
    <xf numFmtId="164" fontId="9" fillId="23" borderId="0" xfId="0" applyNumberFormat="1" applyFont="1" applyFill="1" applyBorder="1" applyAlignment="1">
      <alignment horizontal="center" vertical="center"/>
    </xf>
    <xf numFmtId="0" fontId="9" fillId="23" borderId="0" xfId="0" applyFont="1" applyFill="1" applyBorder="1" applyAlignment="1">
      <alignment horizontal="left" vertical="center"/>
    </xf>
    <xf numFmtId="0" fontId="9" fillId="6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2" fillId="17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left" vertical="center"/>
    </xf>
    <xf numFmtId="0" fontId="12" fillId="17" borderId="2" xfId="0" applyFont="1" applyFill="1" applyBorder="1" applyAlignment="1">
      <alignment vertical="center"/>
    </xf>
    <xf numFmtId="0" fontId="9" fillId="7" borderId="0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vertical="center" wrapText="1"/>
    </xf>
    <xf numFmtId="0" fontId="9" fillId="7" borderId="0" xfId="3" applyFont="1" applyFill="1" applyBorder="1" applyAlignment="1">
      <alignment horizontal="center" vertical="center" wrapText="1"/>
    </xf>
    <xf numFmtId="0" fontId="9" fillId="7" borderId="0" xfId="3" applyFont="1" applyFill="1" applyBorder="1" applyAlignment="1">
      <alignment vertical="center"/>
    </xf>
    <xf numFmtId="0" fontId="9" fillId="24" borderId="0" xfId="0" applyFont="1" applyFill="1" applyBorder="1" applyAlignment="1">
      <alignment horizontal="left" vertical="center"/>
    </xf>
    <xf numFmtId="0" fontId="9" fillId="24" borderId="0" xfId="0" applyFont="1" applyFill="1" applyBorder="1" applyAlignment="1">
      <alignment horizontal="center" vertical="center"/>
    </xf>
    <xf numFmtId="0" fontId="9" fillId="24" borderId="0" xfId="0" applyFont="1" applyFill="1" applyBorder="1" applyAlignment="1">
      <alignment horizontal="center" vertical="center" wrapText="1"/>
    </xf>
    <xf numFmtId="0" fontId="9" fillId="24" borderId="0" xfId="0" applyFont="1" applyFill="1" applyBorder="1" applyAlignment="1">
      <alignment vertical="center"/>
    </xf>
    <xf numFmtId="0" fontId="9" fillId="8" borderId="0" xfId="0" applyFont="1" applyFill="1" applyBorder="1" applyAlignment="1">
      <alignment horizontal="center" vertical="center" wrapText="1"/>
    </xf>
    <xf numFmtId="0" fontId="10" fillId="8" borderId="0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horizontal="left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vertical="center"/>
    </xf>
    <xf numFmtId="0" fontId="0" fillId="9" borderId="0" xfId="0" applyFont="1" applyFill="1" applyBorder="1" applyAlignment="1">
      <alignment horizontal="left"/>
    </xf>
    <xf numFmtId="0" fontId="0" fillId="9" borderId="0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1" fillId="9" borderId="0" xfId="0" applyFont="1" applyFill="1" applyBorder="1"/>
    <xf numFmtId="0" fontId="1" fillId="9" borderId="0" xfId="0" applyFont="1" applyFill="1" applyBorder="1" applyAlignment="1">
      <alignment horizontal="center" wrapText="1"/>
    </xf>
    <xf numFmtId="0" fontId="5" fillId="9" borderId="0" xfId="0" applyFont="1" applyFill="1" applyBorder="1"/>
    <xf numFmtId="0" fontId="1" fillId="9" borderId="0" xfId="0" applyFont="1" applyFill="1" applyBorder="1" applyAlignment="1">
      <alignment wrapText="1"/>
    </xf>
    <xf numFmtId="0" fontId="5" fillId="9" borderId="0" xfId="0" applyFont="1" applyFill="1" applyBorder="1" applyAlignment="1">
      <alignment wrapText="1"/>
    </xf>
    <xf numFmtId="0" fontId="9" fillId="10" borderId="0" xfId="0" applyFont="1" applyFill="1" applyBorder="1" applyAlignment="1">
      <alignment horizontal="left" vertical="center"/>
    </xf>
    <xf numFmtId="0" fontId="10" fillId="10" borderId="0" xfId="0" applyFont="1" applyFill="1" applyBorder="1" applyAlignment="1">
      <alignment vertical="center"/>
    </xf>
    <xf numFmtId="0" fontId="9" fillId="11" borderId="0" xfId="0" applyFont="1" applyFill="1" applyBorder="1" applyAlignment="1">
      <alignment horizontal="left" vertical="center"/>
    </xf>
    <xf numFmtId="0" fontId="9" fillId="11" borderId="0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vertical="center"/>
    </xf>
    <xf numFmtId="0" fontId="9" fillId="11" borderId="5" xfId="0" applyFont="1" applyFill="1" applyBorder="1" applyAlignment="1">
      <alignment horizontal="left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vertical="center"/>
    </xf>
    <xf numFmtId="0" fontId="9" fillId="12" borderId="0" xfId="0" applyFont="1" applyFill="1" applyBorder="1" applyAlignment="1">
      <alignment horizontal="center" vertical="center" wrapText="1"/>
    </xf>
    <xf numFmtId="0" fontId="10" fillId="12" borderId="0" xfId="0" applyFont="1" applyFill="1" applyBorder="1" applyAlignment="1">
      <alignment horizontal="left" vertical="center"/>
    </xf>
    <xf numFmtId="0" fontId="9" fillId="13" borderId="0" xfId="0" applyFont="1" applyFill="1" applyBorder="1" applyAlignment="1">
      <alignment horizontal="left" vertical="center" wrapText="1"/>
    </xf>
    <xf numFmtId="0" fontId="10" fillId="13" borderId="0" xfId="0" applyFont="1" applyFill="1" applyBorder="1" applyAlignment="1">
      <alignment horizontal="left" vertical="center"/>
    </xf>
    <xf numFmtId="0" fontId="9" fillId="13" borderId="0" xfId="0" applyFont="1" applyFill="1" applyBorder="1" applyAlignment="1">
      <alignment horizontal="center" vertical="center" wrapText="1"/>
    </xf>
    <xf numFmtId="0" fontId="10" fillId="14" borderId="0" xfId="0" applyFont="1" applyFill="1" applyBorder="1" applyAlignment="1">
      <alignment horizontal="left" vertical="center"/>
    </xf>
    <xf numFmtId="0" fontId="9" fillId="14" borderId="0" xfId="0" applyFont="1" applyFill="1" applyBorder="1" applyAlignment="1">
      <alignment horizontal="left" vertical="center" wrapText="1"/>
    </xf>
    <xf numFmtId="0" fontId="9" fillId="14" borderId="0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left" vertical="center"/>
    </xf>
    <xf numFmtId="0" fontId="9" fillId="14" borderId="5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vertical="center"/>
    </xf>
    <xf numFmtId="0" fontId="0" fillId="15" borderId="0" xfId="0" applyFont="1" applyFill="1" applyBorder="1" applyAlignment="1">
      <alignment horizontal="left"/>
    </xf>
    <xf numFmtId="0" fontId="0" fillId="15" borderId="0" xfId="0" applyFont="1" applyFill="1" applyBorder="1" applyAlignment="1">
      <alignment horizontal="center"/>
    </xf>
    <xf numFmtId="0" fontId="0" fillId="15" borderId="0" xfId="0" applyFont="1" applyFill="1" applyBorder="1"/>
    <xf numFmtId="0" fontId="0" fillId="16" borderId="0" xfId="0" applyFont="1" applyFill="1" applyBorder="1" applyAlignment="1">
      <alignment horizontal="left"/>
    </xf>
    <xf numFmtId="0" fontId="0" fillId="16" borderId="0" xfId="0" applyFont="1" applyFill="1" applyBorder="1" applyAlignment="1">
      <alignment horizontal="center"/>
    </xf>
    <xf numFmtId="0" fontId="0" fillId="16" borderId="0" xfId="0" applyFont="1" applyFill="1" applyBorder="1"/>
    <xf numFmtId="0" fontId="0" fillId="17" borderId="0" xfId="0" applyFont="1" applyFill="1" applyBorder="1" applyAlignment="1">
      <alignment horizontal="left"/>
    </xf>
    <xf numFmtId="0" fontId="0" fillId="17" borderId="0" xfId="0" applyFont="1" applyFill="1" applyBorder="1" applyAlignment="1">
      <alignment horizontal="center"/>
    </xf>
    <xf numFmtId="0" fontId="0" fillId="17" borderId="0" xfId="0" applyFont="1" applyFill="1" applyBorder="1"/>
    <xf numFmtId="0" fontId="0" fillId="17" borderId="5" xfId="0" applyFont="1" applyFill="1" applyBorder="1" applyAlignment="1">
      <alignment horizontal="left"/>
    </xf>
    <xf numFmtId="0" fontId="0" fillId="17" borderId="5" xfId="0" applyFont="1" applyFill="1" applyBorder="1" applyAlignment="1">
      <alignment horizontal="center"/>
    </xf>
    <xf numFmtId="0" fontId="0" fillId="17" borderId="5" xfId="0" applyFont="1" applyFill="1" applyBorder="1"/>
    <xf numFmtId="0" fontId="9" fillId="17" borderId="5" xfId="0" applyFont="1" applyFill="1" applyBorder="1" applyAlignment="1">
      <alignment horizontal="center" vertical="center"/>
    </xf>
    <xf numFmtId="0" fontId="10" fillId="18" borderId="0" xfId="0" applyFont="1" applyFill="1" applyBorder="1" applyAlignment="1">
      <alignment horizontal="left" vertical="center" wrapText="1"/>
    </xf>
    <xf numFmtId="0" fontId="10" fillId="19" borderId="0" xfId="0" applyFont="1" applyFill="1" applyBorder="1" applyAlignment="1">
      <alignment horizontal="left" vertical="center" wrapText="1"/>
    </xf>
    <xf numFmtId="0" fontId="10" fillId="20" borderId="0" xfId="0" applyFont="1" applyFill="1" applyBorder="1" applyAlignment="1">
      <alignment horizontal="left" vertical="center" wrapText="1"/>
    </xf>
    <xf numFmtId="0" fontId="9" fillId="20" borderId="0" xfId="0" applyFont="1" applyFill="1" applyBorder="1" applyAlignment="1">
      <alignment horizontal="center" vertical="center" wrapText="1"/>
    </xf>
    <xf numFmtId="0" fontId="9" fillId="20" borderId="5" xfId="0" applyFont="1" applyFill="1" applyBorder="1" applyAlignment="1">
      <alignment horizontal="left" vertical="center"/>
    </xf>
    <xf numFmtId="0" fontId="9" fillId="20" borderId="5" xfId="0" applyFont="1" applyFill="1" applyBorder="1" applyAlignment="1">
      <alignment horizontal="center" vertical="center"/>
    </xf>
    <xf numFmtId="0" fontId="9" fillId="20" borderId="5" xfId="0" applyFont="1" applyFill="1" applyBorder="1" applyAlignment="1">
      <alignment vertical="center"/>
    </xf>
    <xf numFmtId="0" fontId="10" fillId="20" borderId="5" xfId="0" applyFont="1" applyFill="1" applyBorder="1" applyAlignment="1">
      <alignment horizontal="left" vertical="center" wrapText="1"/>
    </xf>
    <xf numFmtId="0" fontId="9" fillId="21" borderId="0" xfId="0" applyFont="1" applyFill="1" applyBorder="1" applyAlignment="1">
      <alignment horizontal="left" vertical="center" wrapText="1"/>
    </xf>
    <xf numFmtId="0" fontId="9" fillId="21" borderId="0" xfId="0" applyFont="1" applyFill="1" applyBorder="1" applyAlignment="1">
      <alignment horizontal="center" vertical="center" wrapText="1"/>
    </xf>
    <xf numFmtId="0" fontId="9" fillId="22" borderId="0" xfId="0" applyFont="1" applyFill="1" applyBorder="1" applyAlignment="1">
      <alignment horizontal="center" vertical="center" wrapText="1"/>
    </xf>
    <xf numFmtId="0" fontId="9" fillId="22" borderId="0" xfId="0" applyFont="1" applyFill="1" applyBorder="1" applyAlignment="1">
      <alignment horizontal="left" vertical="center" wrapText="1"/>
    </xf>
    <xf numFmtId="0" fontId="9" fillId="23" borderId="0" xfId="0" applyFont="1" applyFill="1" applyBorder="1" applyAlignment="1">
      <alignment horizontal="left" vertical="center" wrapText="1"/>
    </xf>
    <xf numFmtId="3" fontId="9" fillId="23" borderId="0" xfId="0" applyNumberFormat="1" applyFont="1" applyFill="1" applyBorder="1" applyAlignment="1">
      <alignment horizontal="center" vertical="center"/>
    </xf>
    <xf numFmtId="0" fontId="9" fillId="23" borderId="0" xfId="0" applyFont="1" applyFill="1" applyBorder="1" applyAlignment="1">
      <alignment horizontal="center" vertical="center" wrapText="1"/>
    </xf>
    <xf numFmtId="0" fontId="10" fillId="23" borderId="0" xfId="0" applyFont="1" applyFill="1" applyBorder="1" applyAlignment="1">
      <alignment horizontal="left" vertical="center"/>
    </xf>
    <xf numFmtId="0" fontId="9" fillId="23" borderId="5" xfId="0" applyFont="1" applyFill="1" applyBorder="1" applyAlignment="1">
      <alignment horizontal="left" vertical="center"/>
    </xf>
    <xf numFmtId="0" fontId="9" fillId="23" borderId="5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0" fillId="0" borderId="0" xfId="0" applyFill="1" applyBorder="1"/>
    <xf numFmtId="0" fontId="9" fillId="0" borderId="0" xfId="0" applyFont="1"/>
    <xf numFmtId="0" fontId="0" fillId="0" borderId="0" xfId="0"/>
    <xf numFmtId="0" fontId="0" fillId="0" borderId="0" xfId="0" applyBorder="1"/>
    <xf numFmtId="0" fontId="6" fillId="0" borderId="0" xfId="0" applyFont="1" applyBorder="1" applyAlignment="1">
      <alignment vertical="center"/>
    </xf>
    <xf numFmtId="49" fontId="0" fillId="0" borderId="0" xfId="0" applyNumberFormat="1"/>
    <xf numFmtId="0" fontId="0" fillId="0" borderId="9" xfId="0" applyBorder="1"/>
    <xf numFmtId="0" fontId="0" fillId="15" borderId="0" xfId="0" applyFont="1" applyFill="1" applyAlignment="1">
      <alignment horizontal="center"/>
    </xf>
    <xf numFmtId="0" fontId="0" fillId="15" borderId="0" xfId="0" applyFont="1" applyFill="1"/>
    <xf numFmtId="0" fontId="0" fillId="16" borderId="0" xfId="0" applyFont="1" applyFill="1"/>
    <xf numFmtId="0" fontId="0" fillId="16" borderId="0" xfId="0" applyFont="1" applyFill="1" applyAlignment="1">
      <alignment horizontal="center"/>
    </xf>
    <xf numFmtId="0" fontId="1" fillId="16" borderId="0" xfId="2" applyFont="1" applyFill="1"/>
    <xf numFmtId="0" fontId="1" fillId="16" borderId="0" xfId="2" applyFont="1" applyFill="1" applyAlignment="1">
      <alignment horizontal="center"/>
    </xf>
    <xf numFmtId="0" fontId="0" fillId="17" borderId="0" xfId="0" applyFont="1" applyFill="1" applyAlignment="1">
      <alignment horizontal="center"/>
    </xf>
    <xf numFmtId="0" fontId="0" fillId="17" borderId="0" xfId="0" applyFont="1" applyFill="1"/>
    <xf numFmtId="0" fontId="12" fillId="17" borderId="2" xfId="0" applyFont="1" applyFill="1" applyBorder="1" applyAlignment="1">
      <alignment horizontal="right" vertical="center"/>
    </xf>
    <xf numFmtId="0" fontId="9" fillId="7" borderId="0" xfId="0" applyFont="1" applyFill="1" applyBorder="1" applyAlignment="1">
      <alignment horizontal="right" vertical="center" wrapText="1"/>
    </xf>
    <xf numFmtId="0" fontId="9" fillId="7" borderId="0" xfId="3" applyFont="1" applyFill="1" applyBorder="1" applyAlignment="1">
      <alignment horizontal="right" vertical="center" wrapText="1"/>
    </xf>
    <xf numFmtId="0" fontId="9" fillId="24" borderId="0" xfId="0" applyFont="1" applyFill="1" applyBorder="1" applyAlignment="1">
      <alignment horizontal="right" vertical="center" wrapText="1"/>
    </xf>
    <xf numFmtId="0" fontId="9" fillId="8" borderId="0" xfId="0" applyFont="1" applyFill="1" applyBorder="1" applyAlignment="1">
      <alignment horizontal="right" vertical="center" wrapText="1"/>
    </xf>
    <xf numFmtId="0" fontId="9" fillId="8" borderId="5" xfId="0" applyFont="1" applyFill="1" applyBorder="1" applyAlignment="1">
      <alignment horizontal="right" vertical="center" wrapText="1"/>
    </xf>
    <xf numFmtId="0" fontId="1" fillId="9" borderId="0" xfId="0" applyFont="1" applyFill="1" applyBorder="1" applyAlignment="1">
      <alignment horizontal="right"/>
    </xf>
    <xf numFmtId="0" fontId="9" fillId="10" borderId="0" xfId="0" applyFont="1" applyFill="1" applyBorder="1" applyAlignment="1">
      <alignment horizontal="right" vertical="center"/>
    </xf>
    <xf numFmtId="0" fontId="9" fillId="11" borderId="0" xfId="0" applyFont="1" applyFill="1" applyBorder="1" applyAlignment="1">
      <alignment horizontal="right" vertical="center"/>
    </xf>
    <xf numFmtId="0" fontId="9" fillId="11" borderId="5" xfId="0" applyFont="1" applyFill="1" applyBorder="1" applyAlignment="1">
      <alignment horizontal="right" vertical="center"/>
    </xf>
    <xf numFmtId="0" fontId="9" fillId="12" borderId="0" xfId="0" applyFont="1" applyFill="1" applyBorder="1" applyAlignment="1">
      <alignment horizontal="right" vertical="center" wrapText="1"/>
    </xf>
    <xf numFmtId="0" fontId="9" fillId="13" borderId="0" xfId="0" applyFont="1" applyFill="1" applyBorder="1" applyAlignment="1">
      <alignment horizontal="right" vertical="center" wrapText="1"/>
    </xf>
    <xf numFmtId="0" fontId="9" fillId="14" borderId="0" xfId="0" applyFont="1" applyFill="1" applyBorder="1" applyAlignment="1">
      <alignment horizontal="right" vertical="center" wrapText="1"/>
    </xf>
    <xf numFmtId="0" fontId="9" fillId="14" borderId="5" xfId="0" applyFont="1" applyFill="1" applyBorder="1" applyAlignment="1">
      <alignment horizontal="right" vertical="center"/>
    </xf>
    <xf numFmtId="0" fontId="0" fillId="15" borderId="0" xfId="0" applyFont="1" applyFill="1" applyBorder="1" applyAlignment="1">
      <alignment horizontal="right"/>
    </xf>
    <xf numFmtId="0" fontId="0" fillId="16" borderId="0" xfId="0" applyFont="1" applyFill="1" applyBorder="1" applyAlignment="1">
      <alignment horizontal="right"/>
    </xf>
    <xf numFmtId="0" fontId="0" fillId="17" borderId="0" xfId="0" applyFont="1" applyFill="1" applyBorder="1" applyAlignment="1">
      <alignment horizontal="right"/>
    </xf>
    <xf numFmtId="0" fontId="0" fillId="17" borderId="5" xfId="0" applyFont="1" applyFill="1" applyBorder="1" applyAlignment="1">
      <alignment horizontal="right"/>
    </xf>
    <xf numFmtId="0" fontId="9" fillId="20" borderId="5" xfId="0" applyFont="1" applyFill="1" applyBorder="1" applyAlignment="1">
      <alignment horizontal="right" vertical="center"/>
    </xf>
    <xf numFmtId="3" fontId="9" fillId="22" borderId="0" xfId="0" applyNumberFormat="1" applyFont="1" applyFill="1" applyBorder="1" applyAlignment="1">
      <alignment horizontal="right" vertical="center"/>
    </xf>
    <xf numFmtId="3" fontId="9" fillId="22" borderId="0" xfId="0" applyNumberFormat="1" applyFont="1" applyFill="1" applyBorder="1" applyAlignment="1">
      <alignment horizontal="right" vertical="center" wrapText="1"/>
    </xf>
    <xf numFmtId="3" fontId="9" fillId="23" borderId="0" xfId="0" applyNumberFormat="1" applyFont="1" applyFill="1" applyBorder="1" applyAlignment="1">
      <alignment horizontal="right" vertical="center"/>
    </xf>
    <xf numFmtId="0" fontId="9" fillId="23" borderId="0" xfId="0" applyFont="1" applyFill="1" applyBorder="1" applyAlignment="1">
      <alignment horizontal="right" vertical="center" wrapText="1"/>
    </xf>
    <xf numFmtId="3" fontId="9" fillId="23" borderId="0" xfId="0" applyNumberFormat="1" applyFont="1" applyFill="1" applyBorder="1" applyAlignment="1">
      <alignment horizontal="right" vertical="center" wrapText="1"/>
    </xf>
    <xf numFmtId="0" fontId="9" fillId="23" borderId="5" xfId="0" applyFont="1" applyFill="1" applyBorder="1" applyAlignment="1">
      <alignment horizontal="right" vertical="center"/>
    </xf>
    <xf numFmtId="0" fontId="0" fillId="15" borderId="0" xfId="0" applyFont="1" applyFill="1" applyAlignment="1">
      <alignment horizontal="right"/>
    </xf>
    <xf numFmtId="0" fontId="0" fillId="16" borderId="0" xfId="0" applyFont="1" applyFill="1" applyAlignment="1">
      <alignment horizontal="right"/>
    </xf>
    <xf numFmtId="0" fontId="1" fillId="16" borderId="0" xfId="2" applyFont="1" applyFill="1" applyAlignment="1">
      <alignment horizontal="right"/>
    </xf>
    <xf numFmtId="0" fontId="0" fillId="17" borderId="0" xfId="0" applyFont="1" applyFill="1" applyAlignment="1">
      <alignment horizontal="right"/>
    </xf>
    <xf numFmtId="0" fontId="9" fillId="0" borderId="0" xfId="0" applyFont="1" applyBorder="1" applyAlignment="1">
      <alignment horizontal="right" vertical="center"/>
    </xf>
    <xf numFmtId="0" fontId="1" fillId="9" borderId="0" xfId="0" applyFont="1" applyFill="1" applyBorder="1" applyAlignment="1">
      <alignment horizontal="right" wrapText="1"/>
    </xf>
    <xf numFmtId="0" fontId="9" fillId="18" borderId="0" xfId="1" applyFont="1" applyFill="1"/>
    <xf numFmtId="0" fontId="9" fillId="18" borderId="0" xfId="1" applyFont="1" applyFill="1" applyAlignment="1">
      <alignment horizontal="center"/>
    </xf>
    <xf numFmtId="0" fontId="9" fillId="19" borderId="0" xfId="0" applyFont="1" applyFill="1"/>
    <xf numFmtId="0" fontId="9" fillId="19" borderId="0" xfId="0" applyFont="1" applyFill="1" applyAlignment="1">
      <alignment horizontal="center"/>
    </xf>
    <xf numFmtId="0" fontId="9" fillId="20" borderId="0" xfId="1" applyFont="1" applyFill="1"/>
    <xf numFmtId="0" fontId="9" fillId="20" borderId="0" xfId="1" applyFont="1" applyFill="1" applyAlignment="1">
      <alignment horizontal="center"/>
    </xf>
    <xf numFmtId="0" fontId="0" fillId="0" borderId="0" xfId="0" applyFill="1"/>
    <xf numFmtId="0" fontId="0" fillId="26" borderId="0" xfId="0" applyFill="1" applyBorder="1"/>
    <xf numFmtId="0" fontId="0" fillId="26" borderId="0" xfId="0" applyFill="1" applyBorder="1" applyAlignment="1">
      <alignment horizontal="center"/>
    </xf>
    <xf numFmtId="0" fontId="5" fillId="26" borderId="0" xfId="0" applyFont="1" applyFill="1" applyBorder="1"/>
    <xf numFmtId="164" fontId="0" fillId="26" borderId="0" xfId="0" applyNumberFormat="1" applyFill="1" applyBorder="1" applyAlignment="1">
      <alignment horizontal="center"/>
    </xf>
    <xf numFmtId="0" fontId="0" fillId="27" borderId="0" xfId="0" applyFill="1" applyBorder="1"/>
    <xf numFmtId="0" fontId="0" fillId="27" borderId="0" xfId="0" applyFill="1" applyBorder="1" applyAlignment="1">
      <alignment horizontal="center"/>
    </xf>
    <xf numFmtId="0" fontId="5" fillId="27" borderId="0" xfId="0" applyFont="1" applyFill="1" applyBorder="1"/>
    <xf numFmtId="164" fontId="0" fillId="27" borderId="0" xfId="0" applyNumberFormat="1" applyFill="1" applyBorder="1" applyAlignment="1">
      <alignment horizontal="center"/>
    </xf>
    <xf numFmtId="0" fontId="9" fillId="0" borderId="0" xfId="0" applyFont="1" applyFill="1"/>
    <xf numFmtId="0" fontId="9" fillId="9" borderId="0" xfId="0" applyFont="1" applyFill="1" applyBorder="1" applyAlignment="1">
      <alignment horizontal="left" vertical="center"/>
    </xf>
    <xf numFmtId="0" fontId="0" fillId="10" borderId="0" xfId="0" applyFont="1" applyFill="1" applyBorder="1" applyAlignment="1">
      <alignment horizontal="left"/>
    </xf>
    <xf numFmtId="0" fontId="9" fillId="10" borderId="0" xfId="1" applyFont="1" applyFill="1" applyBorder="1" applyAlignment="1">
      <alignment horizontal="left"/>
    </xf>
    <xf numFmtId="0" fontId="9" fillId="15" borderId="0" xfId="2" applyFont="1" applyFill="1" applyBorder="1" applyAlignment="1">
      <alignment horizontal="left" vertical="center"/>
    </xf>
    <xf numFmtId="0" fontId="0" fillId="26" borderId="0" xfId="0" applyFill="1" applyBorder="1" applyAlignment="1">
      <alignment horizontal="left"/>
    </xf>
    <xf numFmtId="0" fontId="0" fillId="27" borderId="0" xfId="0" applyFill="1" applyBorder="1" applyAlignment="1">
      <alignment horizontal="left"/>
    </xf>
    <xf numFmtId="0" fontId="0" fillId="28" borderId="0" xfId="0" applyFill="1" applyBorder="1"/>
    <xf numFmtId="0" fontId="0" fillId="28" borderId="0" xfId="0" applyFill="1" applyBorder="1" applyAlignment="1">
      <alignment horizontal="center"/>
    </xf>
    <xf numFmtId="0" fontId="5" fillId="28" borderId="0" xfId="0" applyFont="1" applyFill="1" applyBorder="1"/>
    <xf numFmtId="0" fontId="0" fillId="28" borderId="0" xfId="0" applyFill="1" applyBorder="1" applyAlignment="1">
      <alignment horizontal="left"/>
    </xf>
    <xf numFmtId="164" fontId="0" fillId="28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26" borderId="0" xfId="0" applyFill="1" applyBorder="1" applyAlignment="1">
      <alignment horizontal="center" vertical="center"/>
    </xf>
    <xf numFmtId="0" fontId="0" fillId="28" borderId="0" xfId="0" applyFill="1" applyBorder="1" applyAlignment="1">
      <alignment horizontal="center" vertical="center"/>
    </xf>
    <xf numFmtId="0" fontId="0" fillId="27" borderId="0" xfId="0" applyFill="1" applyBorder="1" applyAlignment="1">
      <alignment horizontal="center" vertical="center"/>
    </xf>
    <xf numFmtId="0" fontId="18" fillId="28" borderId="0" xfId="0" applyFont="1" applyFill="1" applyBorder="1"/>
    <xf numFmtId="0" fontId="0" fillId="28" borderId="0" xfId="0" applyFont="1" applyFill="1" applyBorder="1" applyAlignment="1">
      <alignment horizontal="center"/>
    </xf>
    <xf numFmtId="0" fontId="0" fillId="28" borderId="0" xfId="0" applyFont="1" applyFill="1" applyBorder="1"/>
    <xf numFmtId="0" fontId="0" fillId="0" borderId="0" xfId="0" applyFill="1" applyBorder="1" applyAlignment="1">
      <alignment vertical="center"/>
    </xf>
    <xf numFmtId="0" fontId="10" fillId="26" borderId="0" xfId="0" applyFont="1" applyFill="1" applyBorder="1"/>
    <xf numFmtId="0" fontId="10" fillId="27" borderId="0" xfId="0" applyFont="1" applyFill="1" applyBorder="1"/>
    <xf numFmtId="0" fontId="10" fillId="28" borderId="0" xfId="0" applyFont="1" applyFill="1" applyBorder="1"/>
    <xf numFmtId="0" fontId="9" fillId="27" borderId="0" xfId="0" applyFont="1" applyFill="1" applyBorder="1"/>
    <xf numFmtId="0" fontId="9" fillId="27" borderId="0" xfId="0" applyFont="1" applyFill="1" applyBorder="1" applyAlignment="1">
      <alignment horizontal="center" vertical="center"/>
    </xf>
    <xf numFmtId="0" fontId="9" fillId="27" borderId="0" xfId="0" applyFont="1" applyFill="1" applyBorder="1" applyAlignment="1">
      <alignment horizontal="center"/>
    </xf>
    <xf numFmtId="0" fontId="0" fillId="27" borderId="0" xfId="0" applyFont="1" applyFill="1" applyBorder="1"/>
    <xf numFmtId="0" fontId="19" fillId="0" borderId="0" xfId="0" applyFont="1" applyBorder="1" applyAlignment="1">
      <alignment vertical="center"/>
    </xf>
    <xf numFmtId="0" fontId="10" fillId="7" borderId="0" xfId="3" applyFont="1" applyFill="1" applyBorder="1" applyAlignment="1">
      <alignment vertical="center"/>
    </xf>
    <xf numFmtId="0" fontId="10" fillId="24" borderId="0" xfId="0" applyFont="1" applyFill="1" applyBorder="1" applyAlignment="1">
      <alignment vertical="center"/>
    </xf>
    <xf numFmtId="0" fontId="10" fillId="8" borderId="5" xfId="0" applyFont="1" applyFill="1" applyBorder="1" applyAlignment="1">
      <alignment vertical="center"/>
    </xf>
    <xf numFmtId="0" fontId="10" fillId="11" borderId="5" xfId="0" applyFont="1" applyFill="1" applyBorder="1" applyAlignment="1">
      <alignment vertical="center"/>
    </xf>
    <xf numFmtId="0" fontId="10" fillId="12" borderId="0" xfId="0" applyFont="1" applyFill="1" applyBorder="1" applyAlignment="1">
      <alignment horizontal="left" vertical="center" wrapText="1"/>
    </xf>
    <xf numFmtId="0" fontId="10" fillId="14" borderId="5" xfId="0" applyFont="1" applyFill="1" applyBorder="1" applyAlignment="1">
      <alignment horizontal="left" vertical="center"/>
    </xf>
    <xf numFmtId="0" fontId="5" fillId="15" borderId="0" xfId="0" applyFont="1" applyFill="1"/>
    <xf numFmtId="0" fontId="5" fillId="16" borderId="0" xfId="0" applyFont="1" applyFill="1"/>
    <xf numFmtId="0" fontId="21" fillId="16" borderId="0" xfId="2" applyFont="1" applyFill="1"/>
    <xf numFmtId="0" fontId="5" fillId="17" borderId="0" xfId="0" applyFont="1" applyFill="1"/>
    <xf numFmtId="0" fontId="10" fillId="17" borderId="5" xfId="0" applyFont="1" applyFill="1" applyBorder="1" applyAlignment="1">
      <alignment vertical="center"/>
    </xf>
    <xf numFmtId="0" fontId="10" fillId="21" borderId="0" xfId="0" applyFont="1" applyFill="1" applyBorder="1" applyAlignment="1">
      <alignment horizontal="left" vertical="center"/>
    </xf>
    <xf numFmtId="0" fontId="10" fillId="23" borderId="5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49" fontId="9" fillId="0" borderId="0" xfId="0" applyNumberFormat="1" applyFont="1" applyFill="1"/>
    <xf numFmtId="0" fontId="9" fillId="0" borderId="5" xfId="0" applyFont="1" applyFill="1" applyBorder="1"/>
    <xf numFmtId="49" fontId="9" fillId="0" borderId="5" xfId="0" applyNumberFormat="1" applyFont="1" applyFill="1" applyBorder="1"/>
    <xf numFmtId="0" fontId="10" fillId="0" borderId="0" xfId="0" applyFont="1" applyFill="1"/>
    <xf numFmtId="49" fontId="10" fillId="0" borderId="0" xfId="0" applyNumberFormat="1" applyFont="1" applyFill="1"/>
    <xf numFmtId="0" fontId="9" fillId="0" borderId="8" xfId="0" applyFont="1" applyFill="1" applyBorder="1"/>
    <xf numFmtId="0" fontId="23" fillId="0" borderId="0" xfId="0" applyFont="1" applyFill="1"/>
    <xf numFmtId="49" fontId="0" fillId="0" borderId="0" xfId="0" applyNumberFormat="1" applyFill="1"/>
    <xf numFmtId="0" fontId="0" fillId="0" borderId="5" xfId="0" applyFill="1" applyBorder="1"/>
    <xf numFmtId="49" fontId="0" fillId="0" borderId="5" xfId="0" applyNumberFormat="1" applyFill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28" borderId="5" xfId="0" applyFill="1" applyBorder="1"/>
    <xf numFmtId="0" fontId="0" fillId="28" borderId="5" xfId="0" applyFill="1" applyBorder="1" applyAlignment="1">
      <alignment horizontal="center"/>
    </xf>
    <xf numFmtId="0" fontId="10" fillId="28" borderId="5" xfId="0" applyFont="1" applyFill="1" applyBorder="1"/>
    <xf numFmtId="0" fontId="0" fillId="28" borderId="5" xfId="0" applyFill="1" applyBorder="1" applyAlignment="1">
      <alignment horizontal="left"/>
    </xf>
    <xf numFmtId="164" fontId="0" fillId="28" borderId="5" xfId="0" applyNumberFormat="1" applyFill="1" applyBorder="1" applyAlignment="1">
      <alignment horizontal="center"/>
    </xf>
    <xf numFmtId="165" fontId="0" fillId="0" borderId="0" xfId="5" applyNumberFormat="1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0" xfId="5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24" fillId="25" borderId="0" xfId="0" applyFont="1" applyFill="1" applyBorder="1" applyAlignment="1">
      <alignment vertical="center"/>
    </xf>
    <xf numFmtId="0" fontId="24" fillId="25" borderId="0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165" fontId="0" fillId="0" borderId="5" xfId="5" applyNumberFormat="1" applyFont="1" applyBorder="1" applyAlignment="1">
      <alignment horizontal="center" vertical="center"/>
    </xf>
    <xf numFmtId="0" fontId="5" fillId="0" borderId="5" xfId="0" applyFont="1" applyFill="1" applyBorder="1" applyAlignment="1">
      <alignment vertical="center"/>
    </xf>
    <xf numFmtId="164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65" fontId="0" fillId="0" borderId="5" xfId="5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9" fillId="9" borderId="0" xfId="0" applyFont="1" applyFill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9" fillId="15" borderId="0" xfId="2" applyFont="1" applyFill="1" applyBorder="1" applyAlignment="1">
      <alignment horizontal="center" vertical="center"/>
    </xf>
    <xf numFmtId="0" fontId="0" fillId="10" borderId="0" xfId="0" applyFont="1" applyFill="1" applyBorder="1" applyAlignment="1">
      <alignment horizontal="center"/>
    </xf>
    <xf numFmtId="0" fontId="9" fillId="29" borderId="0" xfId="1" applyFont="1" applyFill="1" applyBorder="1" applyAlignment="1">
      <alignment horizontal="center"/>
    </xf>
    <xf numFmtId="0" fontId="9" fillId="29" borderId="0" xfId="1" applyFont="1" applyFill="1" applyBorder="1"/>
    <xf numFmtId="0" fontId="10" fillId="29" borderId="0" xfId="1" applyFont="1" applyFill="1" applyBorder="1" applyAlignment="1">
      <alignment horizontal="left"/>
    </xf>
    <xf numFmtId="0" fontId="9" fillId="29" borderId="0" xfId="1" applyFont="1" applyFill="1" applyBorder="1" applyAlignment="1">
      <alignment horizontal="left"/>
    </xf>
    <xf numFmtId="164" fontId="9" fillId="29" borderId="0" xfId="1" applyNumberFormat="1" applyFont="1" applyFill="1" applyBorder="1" applyAlignment="1">
      <alignment horizontal="center"/>
    </xf>
    <xf numFmtId="0" fontId="0" fillId="29" borderId="0" xfId="1" applyFont="1" applyFill="1" applyBorder="1" applyAlignment="1">
      <alignment horizontal="center"/>
    </xf>
    <xf numFmtId="0" fontId="0" fillId="29" borderId="0" xfId="1" applyFont="1" applyFill="1" applyBorder="1"/>
    <xf numFmtId="0" fontId="0" fillId="29" borderId="0" xfId="0" applyFont="1" applyFill="1" applyBorder="1" applyAlignment="1">
      <alignment horizontal="left" vertical="center"/>
    </xf>
    <xf numFmtId="164" fontId="0" fillId="29" borderId="0" xfId="1" applyNumberFormat="1" applyFont="1" applyFill="1" applyBorder="1" applyAlignment="1">
      <alignment horizontal="center"/>
    </xf>
    <xf numFmtId="164" fontId="5" fillId="29" borderId="0" xfId="1" applyNumberFormat="1" applyFont="1" applyFill="1" applyBorder="1" applyAlignment="1">
      <alignment horizontal="center"/>
    </xf>
    <xf numFmtId="0" fontId="9" fillId="29" borderId="0" xfId="0" applyFont="1" applyFill="1" applyBorder="1" applyAlignment="1">
      <alignment horizontal="left" vertical="center"/>
    </xf>
    <xf numFmtId="0" fontId="0" fillId="29" borderId="0" xfId="1" applyFont="1" applyFill="1" applyBorder="1" applyAlignment="1">
      <alignment horizontal="left"/>
    </xf>
    <xf numFmtId="164" fontId="10" fillId="29" borderId="0" xfId="1" applyNumberFormat="1" applyFont="1" applyFill="1" applyBorder="1" applyAlignment="1">
      <alignment horizontal="center"/>
    </xf>
    <xf numFmtId="2" fontId="10" fillId="29" borderId="0" xfId="1" applyNumberFormat="1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Border="1"/>
    <xf numFmtId="0" fontId="0" fillId="7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9" borderId="0" xfId="0" applyFill="1" applyBorder="1"/>
    <xf numFmtId="0" fontId="0" fillId="10" borderId="0" xfId="0" applyFill="1" applyBorder="1"/>
    <xf numFmtId="0" fontId="9" fillId="29" borderId="0" xfId="0" applyFont="1" applyFill="1" applyBorder="1" applyAlignment="1">
      <alignment vertical="center"/>
    </xf>
    <xf numFmtId="0" fontId="0" fillId="29" borderId="0" xfId="0" applyFill="1" applyBorder="1"/>
    <xf numFmtId="0" fontId="0" fillId="29" borderId="0" xfId="0" applyFont="1" applyFill="1" applyBorder="1"/>
    <xf numFmtId="0" fontId="0" fillId="29" borderId="0" xfId="0" applyFont="1" applyFill="1" applyBorder="1" applyAlignment="1">
      <alignment vertical="center"/>
    </xf>
    <xf numFmtId="0" fontId="0" fillId="12" borderId="0" xfId="0" applyFill="1" applyBorder="1"/>
    <xf numFmtId="0" fontId="20" fillId="27" borderId="0" xfId="2" applyFont="1" applyFill="1" applyBorder="1"/>
    <xf numFmtId="0" fontId="3" fillId="27" borderId="0" xfId="2" applyFill="1" applyBorder="1"/>
    <xf numFmtId="0" fontId="20" fillId="28" borderId="0" xfId="2" applyFont="1" applyFill="1" applyBorder="1"/>
    <xf numFmtId="0" fontId="3" fillId="28" borderId="0" xfId="2" applyFill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1" fillId="6" borderId="0" xfId="0" applyFont="1" applyFill="1" applyBorder="1" applyAlignment="1">
      <alignment textRotation="90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right" vertical="center" wrapText="1"/>
    </xf>
    <xf numFmtId="0" fontId="7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25" fillId="5" borderId="2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2" xfId="0" applyBorder="1"/>
    <xf numFmtId="0" fontId="9" fillId="8" borderId="5" xfId="0" applyFont="1" applyFill="1" applyBorder="1" applyAlignment="1">
      <alignment horizontal="right" vertical="center"/>
    </xf>
    <xf numFmtId="0" fontId="9" fillId="8" borderId="5" xfId="0" applyFont="1" applyFill="1" applyBorder="1" applyAlignment="1">
      <alignment vertical="center" wrapText="1"/>
    </xf>
    <xf numFmtId="0" fontId="0" fillId="8" borderId="5" xfId="0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0" fillId="0" borderId="5" xfId="0" applyBorder="1"/>
    <xf numFmtId="0" fontId="9" fillId="29" borderId="5" xfId="0" applyFont="1" applyFill="1" applyBorder="1" applyAlignment="1">
      <alignment vertical="center"/>
    </xf>
    <xf numFmtId="0" fontId="9" fillId="29" borderId="5" xfId="1" applyFont="1" applyFill="1" applyBorder="1" applyAlignment="1">
      <alignment horizontal="center"/>
    </xf>
    <xf numFmtId="0" fontId="9" fillId="29" borderId="5" xfId="1" applyFont="1" applyFill="1" applyBorder="1"/>
    <xf numFmtId="0" fontId="10" fillId="29" borderId="5" xfId="1" applyFont="1" applyFill="1" applyBorder="1" applyAlignment="1">
      <alignment horizontal="left"/>
    </xf>
    <xf numFmtId="0" fontId="0" fillId="29" borderId="5" xfId="0" applyFill="1" applyBorder="1"/>
    <xf numFmtId="0" fontId="9" fillId="29" borderId="5" xfId="1" applyFont="1" applyFill="1" applyBorder="1" applyAlignment="1">
      <alignment horizontal="left"/>
    </xf>
    <xf numFmtId="164" fontId="9" fillId="29" borderId="5" xfId="1" applyNumberFormat="1" applyFont="1" applyFill="1" applyBorder="1" applyAlignment="1">
      <alignment horizontal="center"/>
    </xf>
    <xf numFmtId="0" fontId="0" fillId="13" borderId="0" xfId="0" applyFill="1" applyBorder="1"/>
    <xf numFmtId="0" fontId="0" fillId="14" borderId="0" xfId="0" applyFill="1" applyBorder="1"/>
    <xf numFmtId="0" fontId="10" fillId="14" borderId="5" xfId="0" applyFont="1" applyFill="1" applyBorder="1" applyAlignment="1">
      <alignment vertical="center"/>
    </xf>
    <xf numFmtId="0" fontId="9" fillId="14" borderId="5" xfId="0" applyFont="1" applyFill="1" applyBorder="1" applyAlignment="1">
      <alignment vertical="center" wrapText="1"/>
    </xf>
    <xf numFmtId="0" fontId="0" fillId="14" borderId="5" xfId="0" applyFill="1" applyBorder="1"/>
    <xf numFmtId="164" fontId="9" fillId="14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5" borderId="0" xfId="0" applyFill="1" applyBorder="1"/>
    <xf numFmtId="0" fontId="0" fillId="16" borderId="0" xfId="0" applyFill="1"/>
    <xf numFmtId="0" fontId="0" fillId="16" borderId="0" xfId="0" applyFill="1" applyBorder="1"/>
    <xf numFmtId="0" fontId="0" fillId="17" borderId="0" xfId="0" applyFill="1"/>
    <xf numFmtId="0" fontId="0" fillId="17" borderId="0" xfId="0" applyFill="1" applyBorder="1"/>
    <xf numFmtId="0" fontId="0" fillId="18" borderId="0" xfId="0" applyFill="1"/>
    <xf numFmtId="0" fontId="0" fillId="18" borderId="0" xfId="0" applyFill="1" applyBorder="1"/>
    <xf numFmtId="0" fontId="0" fillId="19" borderId="0" xfId="0" applyFill="1"/>
    <xf numFmtId="0" fontId="0" fillId="19" borderId="0" xfId="0" applyFill="1" applyBorder="1"/>
    <xf numFmtId="0" fontId="3" fillId="20" borderId="0" xfId="2" applyFill="1"/>
    <xf numFmtId="0" fontId="0" fillId="20" borderId="0" xfId="0" applyFill="1" applyBorder="1"/>
    <xf numFmtId="0" fontId="0" fillId="20" borderId="0" xfId="0" applyFill="1"/>
    <xf numFmtId="0" fontId="0" fillId="21" borderId="0" xfId="0" applyFill="1"/>
    <xf numFmtId="0" fontId="0" fillId="21" borderId="0" xfId="0" applyFill="1" applyBorder="1"/>
    <xf numFmtId="0" fontId="0" fillId="22" borderId="0" xfId="0" applyFill="1"/>
    <xf numFmtId="0" fontId="0" fillId="22" borderId="0" xfId="0" applyFill="1" applyBorder="1"/>
    <xf numFmtId="0" fontId="3" fillId="22" borderId="0" xfId="2" applyFill="1"/>
    <xf numFmtId="0" fontId="0" fillId="23" borderId="0" xfId="0" applyFill="1"/>
    <xf numFmtId="0" fontId="0" fillId="23" borderId="0" xfId="0" applyFill="1" applyBorder="1"/>
    <xf numFmtId="0" fontId="9" fillId="17" borderId="5" xfId="2" applyFont="1" applyFill="1" applyBorder="1" applyAlignment="1">
      <alignment horizontal="left" vertical="center"/>
    </xf>
    <xf numFmtId="0" fontId="9" fillId="17" borderId="5" xfId="0" applyFont="1" applyFill="1" applyBorder="1" applyAlignment="1">
      <alignment horizontal="right" vertical="center"/>
    </xf>
    <xf numFmtId="0" fontId="9" fillId="17" borderId="5" xfId="0" applyFont="1" applyFill="1" applyBorder="1" applyAlignment="1">
      <alignment horizontal="left" vertical="center"/>
    </xf>
    <xf numFmtId="0" fontId="9" fillId="17" borderId="5" xfId="0" applyFont="1" applyFill="1" applyBorder="1" applyAlignment="1">
      <alignment vertical="center"/>
    </xf>
    <xf numFmtId="0" fontId="9" fillId="17" borderId="5" xfId="0" applyFont="1" applyFill="1" applyBorder="1" applyAlignment="1">
      <alignment vertical="center" wrapText="1"/>
    </xf>
    <xf numFmtId="0" fontId="0" fillId="17" borderId="5" xfId="0" applyFill="1" applyBorder="1"/>
    <xf numFmtId="0" fontId="10" fillId="20" borderId="5" xfId="0" applyFont="1" applyFill="1" applyBorder="1" applyAlignment="1">
      <alignment vertical="center"/>
    </xf>
    <xf numFmtId="0" fontId="9" fillId="20" borderId="5" xfId="0" applyFont="1" applyFill="1" applyBorder="1" applyAlignment="1">
      <alignment vertical="center" wrapText="1"/>
    </xf>
    <xf numFmtId="0" fontId="0" fillId="20" borderId="5" xfId="0" applyFill="1" applyBorder="1"/>
    <xf numFmtId="164" fontId="9" fillId="20" borderId="5" xfId="0" applyNumberFormat="1" applyFont="1" applyFill="1" applyBorder="1" applyAlignment="1">
      <alignment horizontal="center" vertical="center"/>
    </xf>
    <xf numFmtId="0" fontId="9" fillId="23" borderId="5" xfId="0" applyFont="1" applyFill="1" applyBorder="1" applyAlignment="1">
      <alignment vertical="center"/>
    </xf>
    <xf numFmtId="0" fontId="9" fillId="23" borderId="5" xfId="0" applyFont="1" applyFill="1" applyBorder="1" applyAlignment="1">
      <alignment vertical="center" wrapText="1"/>
    </xf>
    <xf numFmtId="0" fontId="0" fillId="23" borderId="5" xfId="0" applyFill="1" applyBorder="1"/>
    <xf numFmtId="164" fontId="9" fillId="23" borderId="5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 textRotation="90"/>
    </xf>
    <xf numFmtId="0" fontId="8" fillId="6" borderId="0" xfId="2" applyFont="1" applyFill="1" applyBorder="1" applyAlignment="1">
      <alignment horizontal="center" vertical="center" textRotation="90"/>
    </xf>
    <xf numFmtId="0" fontId="8" fillId="0" borderId="0" xfId="0" applyFont="1" applyFill="1" applyBorder="1" applyAlignment="1">
      <alignment horizontal="center" vertical="center" textRotation="90"/>
    </xf>
    <xf numFmtId="0" fontId="8" fillId="0" borderId="5" xfId="0" applyFont="1" applyFill="1" applyBorder="1" applyAlignment="1">
      <alignment horizontal="center" vertical="center" textRotation="90"/>
    </xf>
    <xf numFmtId="0" fontId="0" fillId="0" borderId="0" xfId="0" applyBorder="1" applyAlignment="1">
      <alignment horizontal="left" vertical="center"/>
    </xf>
    <xf numFmtId="0" fontId="17" fillId="0" borderId="5" xfId="0" applyFont="1" applyBorder="1" applyAlignment="1">
      <alignment horizontal="left"/>
    </xf>
    <xf numFmtId="0" fontId="19" fillId="6" borderId="7" xfId="0" applyFont="1" applyFill="1" applyBorder="1" applyAlignment="1">
      <alignment horizontal="left" vertical="center"/>
    </xf>
    <xf numFmtId="0" fontId="9" fillId="6" borderId="0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textRotation="90"/>
    </xf>
    <xf numFmtId="0" fontId="12" fillId="6" borderId="4" xfId="0" applyFont="1" applyFill="1" applyBorder="1" applyAlignment="1">
      <alignment horizontal="center" vertical="center" textRotation="90"/>
    </xf>
    <xf numFmtId="0" fontId="12" fillId="6" borderId="3" xfId="0" applyFont="1" applyFill="1" applyBorder="1" applyAlignment="1">
      <alignment horizontal="center" vertical="center" textRotation="90"/>
    </xf>
    <xf numFmtId="0" fontId="13" fillId="6" borderId="6" xfId="0" applyFont="1" applyFill="1" applyBorder="1" applyAlignment="1">
      <alignment horizontal="center" vertical="center" textRotation="90"/>
    </xf>
    <xf numFmtId="0" fontId="13" fillId="6" borderId="1" xfId="0" applyFont="1" applyFill="1" applyBorder="1" applyAlignment="1">
      <alignment horizontal="center" vertical="center" textRotation="90"/>
    </xf>
    <xf numFmtId="0" fontId="13" fillId="6" borderId="4" xfId="0" applyFont="1" applyFill="1" applyBorder="1" applyAlignment="1">
      <alignment horizontal="center" vertical="center" textRotation="90"/>
    </xf>
    <xf numFmtId="0" fontId="12" fillId="6" borderId="6" xfId="0" applyFont="1" applyFill="1" applyBorder="1" applyAlignment="1">
      <alignment horizontal="center" vertical="center" textRotation="90"/>
    </xf>
    <xf numFmtId="0" fontId="12" fillId="6" borderId="8" xfId="0" applyFont="1" applyFill="1" applyBorder="1" applyAlignment="1">
      <alignment horizontal="center" vertical="center" textRotation="90"/>
    </xf>
    <xf numFmtId="0" fontId="12" fillId="6" borderId="0" xfId="0" applyFont="1" applyFill="1" applyBorder="1" applyAlignment="1">
      <alignment horizontal="center" vertical="center" textRotation="90"/>
    </xf>
    <xf numFmtId="0" fontId="12" fillId="6" borderId="5" xfId="0" applyFont="1" applyFill="1" applyBorder="1" applyAlignment="1">
      <alignment horizontal="center" vertical="center" textRotation="90"/>
    </xf>
    <xf numFmtId="0" fontId="13" fillId="0" borderId="8" xfId="0" applyFont="1" applyFill="1" applyBorder="1" applyAlignment="1">
      <alignment horizontal="center" vertical="center" textRotation="90"/>
    </xf>
    <xf numFmtId="0" fontId="13" fillId="0" borderId="0" xfId="0" applyFont="1" applyFill="1" applyBorder="1" applyAlignment="1">
      <alignment horizontal="center" vertical="center" textRotation="90"/>
    </xf>
    <xf numFmtId="0" fontId="10" fillId="0" borderId="8" xfId="0" applyFont="1" applyFill="1" applyBorder="1" applyAlignment="1">
      <alignment horizontal="center" vertical="center" textRotation="90"/>
    </xf>
    <xf numFmtId="0" fontId="10" fillId="0" borderId="0" xfId="0" applyFont="1" applyFill="1" applyBorder="1" applyAlignment="1">
      <alignment horizontal="center" vertical="center" textRotation="90"/>
    </xf>
    <xf numFmtId="0" fontId="10" fillId="0" borderId="5" xfId="0" applyFont="1" applyFill="1" applyBorder="1" applyAlignment="1">
      <alignment horizontal="center" vertical="center" textRotation="90"/>
    </xf>
    <xf numFmtId="0" fontId="22" fillId="0" borderId="0" xfId="0" applyFont="1" applyFill="1" applyAlignment="1">
      <alignment horizontal="left"/>
    </xf>
    <xf numFmtId="172" fontId="0" fillId="29" borderId="0" xfId="0" applyNumberFormat="1" applyFill="1" applyBorder="1"/>
  </cellXfs>
  <cellStyles count="6">
    <cellStyle name="Bra" xfId="1" builtinId="26"/>
    <cellStyle name="Dålig" xfId="2" builtinId="27"/>
    <cellStyle name="Neutral" xfId="3" builtinId="28"/>
    <cellStyle name="Normal" xfId="0" builtinId="0"/>
    <cellStyle name="Normal 2 2" xfId="4" xr:uid="{00000000-0005-0000-0000-000004000000}"/>
    <cellStyle name="Pro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emental file 1 Cancergenes" connectionId="1" xr16:uid="{00000000-0016-0000-04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9"/>
  <sheetViews>
    <sheetView zoomScale="115" zoomScaleNormal="115" workbookViewId="0">
      <selection activeCell="E30" sqref="E30"/>
    </sheetView>
  </sheetViews>
  <sheetFormatPr defaultColWidth="8.85546875" defaultRowHeight="15" x14ac:dyDescent="0.25"/>
  <cols>
    <col min="1" max="1" width="21.7109375" style="340" bestFit="1" customWidth="1"/>
    <col min="2" max="2" width="19" style="340" bestFit="1" customWidth="1"/>
    <col min="3" max="3" width="15.28515625" style="340" bestFit="1" customWidth="1"/>
    <col min="4" max="4" width="21" style="340" bestFit="1" customWidth="1"/>
    <col min="5" max="5" width="10.7109375" style="340" customWidth="1"/>
    <col min="6" max="18" width="10.7109375" style="341" customWidth="1"/>
    <col min="19" max="16384" width="8.85546875" style="340"/>
  </cols>
  <sheetData>
    <row r="1" spans="1:18" x14ac:dyDescent="0.25">
      <c r="A1" s="464" t="s">
        <v>4142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</row>
    <row r="2" spans="1:18" ht="15.75" x14ac:dyDescent="0.25">
      <c r="A2" s="355" t="s">
        <v>4114</v>
      </c>
      <c r="B2" s="355" t="s">
        <v>4115</v>
      </c>
      <c r="C2" s="355" t="s">
        <v>4116</v>
      </c>
      <c r="D2" s="355" t="s">
        <v>4117</v>
      </c>
      <c r="E2" s="355" t="s">
        <v>4118</v>
      </c>
      <c r="F2" s="356" t="s">
        <v>4119</v>
      </c>
      <c r="G2" s="356" t="s">
        <v>4120</v>
      </c>
      <c r="H2" s="356" t="s">
        <v>4121</v>
      </c>
      <c r="I2" s="356" t="s">
        <v>4122</v>
      </c>
      <c r="J2" s="356" t="s">
        <v>4123</v>
      </c>
      <c r="K2" s="356" t="s">
        <v>4124</v>
      </c>
      <c r="L2" s="356" t="s">
        <v>4125</v>
      </c>
      <c r="M2" s="356" t="s">
        <v>4126</v>
      </c>
      <c r="N2" s="356" t="s">
        <v>4127</v>
      </c>
      <c r="O2" s="356" t="s">
        <v>4128</v>
      </c>
      <c r="P2" s="356" t="s">
        <v>4129</v>
      </c>
      <c r="Q2" s="356" t="s">
        <v>4130</v>
      </c>
      <c r="R2" s="356" t="s">
        <v>4131</v>
      </c>
    </row>
    <row r="3" spans="1:18" x14ac:dyDescent="0.25">
      <c r="A3" s="350" t="s">
        <v>4168</v>
      </c>
      <c r="B3" s="351">
        <v>70.087000000000003</v>
      </c>
      <c r="C3" s="351">
        <v>18.885000000000002</v>
      </c>
      <c r="D3" s="351">
        <v>72</v>
      </c>
      <c r="E3" s="347">
        <v>0.98007999999999995</v>
      </c>
      <c r="F3" s="347">
        <v>0.97750999999999999</v>
      </c>
      <c r="G3" s="347">
        <v>0.97579000000000005</v>
      </c>
      <c r="H3" s="347">
        <v>0.97421999999999997</v>
      </c>
      <c r="I3" s="347">
        <v>0.97263999999999995</v>
      </c>
      <c r="J3" s="347">
        <v>0.97085999999999995</v>
      </c>
      <c r="K3" s="347">
        <v>0.96863999999999995</v>
      </c>
      <c r="L3" s="347">
        <v>0.96060999999999996</v>
      </c>
      <c r="M3" s="347">
        <v>0.93061000000000005</v>
      </c>
      <c r="N3" s="347">
        <v>0.81762999999999997</v>
      </c>
      <c r="O3" s="347">
        <v>0.56408999999999998</v>
      </c>
      <c r="P3" s="347">
        <v>0.25589000000000001</v>
      </c>
      <c r="Q3" s="347">
        <v>6.8350999999999995E-2</v>
      </c>
      <c r="R3" s="347">
        <v>1.3759E-2</v>
      </c>
    </row>
    <row r="4" spans="1:18" x14ac:dyDescent="0.25">
      <c r="A4" s="350" t="s">
        <v>4169</v>
      </c>
      <c r="B4" s="351">
        <v>68.432000000000002</v>
      </c>
      <c r="C4" s="351">
        <v>18.341000000000001</v>
      </c>
      <c r="D4" s="351">
        <v>71</v>
      </c>
      <c r="E4" s="347">
        <v>0.98709000000000002</v>
      </c>
      <c r="F4" s="347">
        <v>0.98448000000000002</v>
      </c>
      <c r="G4" s="347">
        <v>0.98263999999999996</v>
      </c>
      <c r="H4" s="347">
        <v>0.98094999999999999</v>
      </c>
      <c r="I4" s="347">
        <v>0.97907</v>
      </c>
      <c r="J4" s="347">
        <v>0.97568999999999995</v>
      </c>
      <c r="K4" s="347">
        <v>0.96696000000000004</v>
      </c>
      <c r="L4" s="347">
        <v>0.93062</v>
      </c>
      <c r="M4" s="347">
        <v>0.90175000000000005</v>
      </c>
      <c r="N4" s="347">
        <v>0.81910000000000005</v>
      </c>
      <c r="O4" s="347">
        <v>0.54078000000000004</v>
      </c>
      <c r="P4" s="347">
        <v>0.19409999999999999</v>
      </c>
      <c r="Q4" s="347">
        <v>3.6810000000000002E-2</v>
      </c>
      <c r="R4" s="347">
        <v>8.4872000000000003E-3</v>
      </c>
    </row>
    <row r="5" spans="1:18" x14ac:dyDescent="0.25">
      <c r="A5" s="350" t="s">
        <v>4170</v>
      </c>
      <c r="B5" s="351">
        <v>34.542000000000002</v>
      </c>
      <c r="C5" s="351">
        <v>11.452</v>
      </c>
      <c r="D5" s="351">
        <v>35</v>
      </c>
      <c r="E5" s="347">
        <v>0.98594999999999999</v>
      </c>
      <c r="F5" s="347">
        <v>0.98223000000000005</v>
      </c>
      <c r="G5" s="347">
        <v>0.97765000000000002</v>
      </c>
      <c r="H5" s="347">
        <v>0.96309999999999996</v>
      </c>
      <c r="I5" s="347">
        <v>0.93089999999999995</v>
      </c>
      <c r="J5" s="347">
        <v>0.87724000000000002</v>
      </c>
      <c r="K5" s="347">
        <v>0.75514999999999999</v>
      </c>
      <c r="L5" s="347">
        <v>0.28521000000000002</v>
      </c>
      <c r="M5" s="347">
        <v>3.4465000000000003E-2</v>
      </c>
      <c r="N5" s="347">
        <v>5.6845000000000003E-3</v>
      </c>
      <c r="O5" s="347">
        <v>3.8984000000000002E-3</v>
      </c>
      <c r="P5" s="347">
        <v>2.9819999999999998E-3</v>
      </c>
      <c r="Q5" s="347">
        <v>2.3086000000000001E-3</v>
      </c>
      <c r="R5" s="347">
        <v>1.8513E-3</v>
      </c>
    </row>
    <row r="6" spans="1:18" x14ac:dyDescent="0.25">
      <c r="A6" s="350" t="s">
        <v>4171</v>
      </c>
      <c r="B6" s="351">
        <v>36.250999999999998</v>
      </c>
      <c r="C6" s="351">
        <v>11.708</v>
      </c>
      <c r="D6" s="351">
        <v>37</v>
      </c>
      <c r="E6" s="347">
        <v>0.98673</v>
      </c>
      <c r="F6" s="347">
        <v>0.98284000000000005</v>
      </c>
      <c r="G6" s="347">
        <v>0.97850999999999999</v>
      </c>
      <c r="H6" s="347">
        <v>0.96655000000000002</v>
      </c>
      <c r="I6" s="347">
        <v>0.93793000000000004</v>
      </c>
      <c r="J6" s="347">
        <v>0.89415</v>
      </c>
      <c r="K6" s="347">
        <v>0.80350999999999995</v>
      </c>
      <c r="L6" s="347">
        <v>0.37491999999999998</v>
      </c>
      <c r="M6" s="347">
        <v>5.8261E-2</v>
      </c>
      <c r="N6" s="347">
        <v>6.8342999999999998E-3</v>
      </c>
      <c r="O6" s="347">
        <v>3.7621E-3</v>
      </c>
      <c r="P6" s="347">
        <v>2.8392000000000001E-3</v>
      </c>
      <c r="Q6" s="347">
        <v>2.1741999999999998E-3</v>
      </c>
      <c r="R6" s="347">
        <v>1.7585000000000001E-3</v>
      </c>
    </row>
    <row r="7" spans="1:18" x14ac:dyDescent="0.25">
      <c r="A7" s="350" t="s">
        <v>4172</v>
      </c>
      <c r="B7" s="351">
        <v>35.796999999999997</v>
      </c>
      <c r="C7" s="351">
        <v>11.728</v>
      </c>
      <c r="D7" s="351">
        <v>36</v>
      </c>
      <c r="E7" s="347">
        <v>0.98631999999999997</v>
      </c>
      <c r="F7" s="347">
        <v>0.98253999999999997</v>
      </c>
      <c r="G7" s="347">
        <v>0.97821999999999998</v>
      </c>
      <c r="H7" s="347">
        <v>0.96562000000000003</v>
      </c>
      <c r="I7" s="347">
        <v>0.93623000000000001</v>
      </c>
      <c r="J7" s="347">
        <v>0.89263999999999999</v>
      </c>
      <c r="K7" s="347">
        <v>0.79774999999999996</v>
      </c>
      <c r="L7" s="347">
        <v>0.34638999999999998</v>
      </c>
      <c r="M7" s="347">
        <v>4.7155000000000002E-2</v>
      </c>
      <c r="N7" s="347">
        <v>6.4723999999999997E-3</v>
      </c>
      <c r="O7" s="347">
        <v>4.1469999999999996E-3</v>
      </c>
      <c r="P7" s="347">
        <v>3.1993999999999998E-3</v>
      </c>
      <c r="Q7" s="347">
        <v>2.5274E-3</v>
      </c>
      <c r="R7" s="347">
        <v>2.0703000000000002E-3</v>
      </c>
    </row>
    <row r="8" spans="1:18" x14ac:dyDescent="0.25">
      <c r="A8" s="350" t="s">
        <v>4173</v>
      </c>
      <c r="B8" s="351">
        <v>35.319000000000003</v>
      </c>
      <c r="C8" s="351">
        <v>11.032999999999999</v>
      </c>
      <c r="D8" s="351">
        <v>36</v>
      </c>
      <c r="E8" s="347">
        <v>0.98021000000000003</v>
      </c>
      <c r="F8" s="347">
        <v>0.97675999999999996</v>
      </c>
      <c r="G8" s="347">
        <v>0.97365999999999997</v>
      </c>
      <c r="H8" s="347">
        <v>0.96967999999999999</v>
      </c>
      <c r="I8" s="347">
        <v>0.96097999999999995</v>
      </c>
      <c r="J8" s="347">
        <v>0.92664000000000002</v>
      </c>
      <c r="K8" s="347">
        <v>0.80696000000000001</v>
      </c>
      <c r="L8" s="347">
        <v>0.29122999999999999</v>
      </c>
      <c r="M8" s="347">
        <v>3.0530999999999999E-2</v>
      </c>
      <c r="N8" s="347">
        <v>5.5239E-3</v>
      </c>
      <c r="O8" s="347">
        <v>3.9291999999999999E-3</v>
      </c>
      <c r="P8" s="347">
        <v>2.9415999999999999E-3</v>
      </c>
      <c r="Q8" s="347">
        <v>2.2683999999999998E-3</v>
      </c>
      <c r="R8" s="347">
        <v>1.8407E-3</v>
      </c>
    </row>
    <row r="9" spans="1:18" ht="15.75" thickBot="1" x14ac:dyDescent="0.3">
      <c r="A9" s="357" t="s">
        <v>4174</v>
      </c>
      <c r="B9" s="358">
        <v>32.521000000000001</v>
      </c>
      <c r="C9" s="358">
        <v>8.5056999999999992</v>
      </c>
      <c r="D9" s="358">
        <v>33</v>
      </c>
      <c r="E9" s="359">
        <v>0.98345000000000005</v>
      </c>
      <c r="F9" s="359">
        <v>0.98051999999999995</v>
      </c>
      <c r="G9" s="359">
        <v>0.97751999999999994</v>
      </c>
      <c r="H9" s="359">
        <v>0.97318000000000005</v>
      </c>
      <c r="I9" s="359">
        <v>0.96074000000000004</v>
      </c>
      <c r="J9" s="359">
        <v>0.89875000000000005</v>
      </c>
      <c r="K9" s="359">
        <v>0.70369999999999999</v>
      </c>
      <c r="L9" s="359">
        <v>0.15221000000000001</v>
      </c>
      <c r="M9" s="359">
        <v>8.9297999999999999E-3</v>
      </c>
      <c r="N9" s="359">
        <v>1.9808999999999998E-3</v>
      </c>
      <c r="O9" s="359">
        <v>1.2493999999999999E-3</v>
      </c>
      <c r="P9" s="359">
        <v>8.0409000000000003E-4</v>
      </c>
      <c r="Q9" s="359">
        <v>5.6013000000000005E-4</v>
      </c>
      <c r="R9" s="359">
        <v>4.1685000000000002E-4</v>
      </c>
    </row>
    <row r="10" spans="1:18" x14ac:dyDescent="0.25">
      <c r="A10" s="350" t="s">
        <v>4132</v>
      </c>
      <c r="B10" s="351">
        <f>AVERAGE(B3:B9)</f>
        <v>44.707000000000001</v>
      </c>
      <c r="C10" s="351">
        <f>AVERAGE(C3:C9)</f>
        <v>13.093242857142856</v>
      </c>
      <c r="D10" s="351">
        <f t="shared" ref="D10" si="0">AVERAGE(D3:D8)</f>
        <v>47.833333333333336</v>
      </c>
      <c r="E10" s="347">
        <f>AVERAGE(E3:E9)</f>
        <v>0.98426142857142873</v>
      </c>
      <c r="F10" s="347">
        <f t="shared" ref="F10:R10" si="1">AVERAGE(F3:F9)</f>
        <v>0.98098285714285716</v>
      </c>
      <c r="G10" s="347">
        <f t="shared" si="1"/>
        <v>0.97771285714285716</v>
      </c>
      <c r="H10" s="347">
        <f t="shared" si="1"/>
        <v>0.97047142857142865</v>
      </c>
      <c r="I10" s="347">
        <f t="shared" si="1"/>
        <v>0.95406999999999997</v>
      </c>
      <c r="J10" s="347">
        <f t="shared" si="1"/>
        <v>0.91942428571428558</v>
      </c>
      <c r="K10" s="347">
        <f t="shared" si="1"/>
        <v>0.82895285714285705</v>
      </c>
      <c r="L10" s="347">
        <f t="shared" si="1"/>
        <v>0.47731285714285715</v>
      </c>
      <c r="M10" s="347">
        <f t="shared" si="1"/>
        <v>0.28738597142857142</v>
      </c>
      <c r="N10" s="347">
        <f t="shared" si="1"/>
        <v>0.23760371428571431</v>
      </c>
      <c r="O10" s="347">
        <f t="shared" si="1"/>
        <v>0.16026515714285713</v>
      </c>
      <c r="P10" s="347">
        <f t="shared" si="1"/>
        <v>6.6108041428571421E-2</v>
      </c>
      <c r="Q10" s="347">
        <f t="shared" si="1"/>
        <v>1.6428532857142859E-2</v>
      </c>
      <c r="R10" s="347">
        <f t="shared" si="1"/>
        <v>4.3119785714285713E-3</v>
      </c>
    </row>
    <row r="11" spans="1:18" x14ac:dyDescent="0.25">
      <c r="A11" s="350" t="s">
        <v>4133</v>
      </c>
      <c r="B11" s="351" t="s">
        <v>4134</v>
      </c>
      <c r="C11" s="351" t="s">
        <v>4135</v>
      </c>
      <c r="D11" s="351" t="s">
        <v>4136</v>
      </c>
      <c r="E11" s="347"/>
      <c r="F11" s="347"/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7"/>
    </row>
    <row r="12" spans="1:18" x14ac:dyDescent="0.25">
      <c r="A12" s="350"/>
      <c r="B12" s="351"/>
      <c r="C12" s="351"/>
      <c r="D12" s="351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</row>
    <row r="13" spans="1:18" x14ac:dyDescent="0.25">
      <c r="A13" s="350"/>
      <c r="B13" s="351"/>
      <c r="C13" s="351"/>
      <c r="D13" s="351"/>
      <c r="E13" s="347"/>
      <c r="F13" s="34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47"/>
      <c r="R13" s="347"/>
    </row>
    <row r="14" spans="1:18" x14ac:dyDescent="0.25">
      <c r="A14" s="350" t="s">
        <v>4155</v>
      </c>
      <c r="B14" s="351">
        <v>65.634</v>
      </c>
      <c r="C14" s="351">
        <v>18.152999999999999</v>
      </c>
      <c r="D14" s="351">
        <v>66</v>
      </c>
      <c r="E14" s="347">
        <v>0.98265999999999998</v>
      </c>
      <c r="F14" s="347">
        <v>0.97770999999999997</v>
      </c>
      <c r="G14" s="347">
        <v>0.97587000000000002</v>
      </c>
      <c r="H14" s="347">
        <v>0.97418000000000005</v>
      </c>
      <c r="I14" s="347">
        <v>0.97241999999999995</v>
      </c>
      <c r="J14" s="347">
        <v>0.97040999999999999</v>
      </c>
      <c r="K14" s="347">
        <v>0.96787999999999996</v>
      </c>
      <c r="L14" s="347">
        <v>0.95726</v>
      </c>
      <c r="M14" s="347">
        <v>0.90517999999999998</v>
      </c>
      <c r="N14" s="347">
        <v>0.71618999999999999</v>
      </c>
      <c r="O14" s="347">
        <v>0.38783000000000001</v>
      </c>
      <c r="P14" s="347">
        <v>0.14141000000000001</v>
      </c>
      <c r="Q14" s="347">
        <v>4.6877000000000002E-2</v>
      </c>
      <c r="R14" s="347">
        <v>1.7701000000000001E-2</v>
      </c>
    </row>
    <row r="15" spans="1:18" x14ac:dyDescent="0.25">
      <c r="A15" s="350" t="s">
        <v>4156</v>
      </c>
      <c r="B15" s="351">
        <v>75.209999999999994</v>
      </c>
      <c r="C15" s="351">
        <v>29.791</v>
      </c>
      <c r="D15" s="351">
        <v>73</v>
      </c>
      <c r="E15" s="347">
        <v>0.98084000000000005</v>
      </c>
      <c r="F15" s="347">
        <v>0.97819999999999996</v>
      </c>
      <c r="G15" s="347">
        <v>0.97638999999999998</v>
      </c>
      <c r="H15" s="347">
        <v>0.97484000000000004</v>
      </c>
      <c r="I15" s="347">
        <v>0.97324999999999995</v>
      </c>
      <c r="J15" s="347">
        <v>0.97113000000000005</v>
      </c>
      <c r="K15" s="347">
        <v>0.96648999999999996</v>
      </c>
      <c r="L15" s="347">
        <v>0.93003000000000002</v>
      </c>
      <c r="M15" s="347">
        <v>0.86824000000000001</v>
      </c>
      <c r="N15" s="347">
        <v>0.79269999999999996</v>
      </c>
      <c r="O15" s="347">
        <v>0.59504000000000001</v>
      </c>
      <c r="P15" s="347">
        <v>0.33423999999999998</v>
      </c>
      <c r="Q15" s="347">
        <v>0.18742</v>
      </c>
      <c r="R15" s="347">
        <v>0.12756999999999999</v>
      </c>
    </row>
    <row r="16" spans="1:18" x14ac:dyDescent="0.25">
      <c r="A16" s="350" t="s">
        <v>4157</v>
      </c>
      <c r="B16" s="351">
        <v>71.534999999999997</v>
      </c>
      <c r="C16" s="351">
        <v>23.446000000000002</v>
      </c>
      <c r="D16" s="351">
        <v>72</v>
      </c>
      <c r="E16" s="347">
        <v>0.98702999999999996</v>
      </c>
      <c r="F16" s="347">
        <v>0.98429999999999995</v>
      </c>
      <c r="G16" s="347">
        <v>0.98238000000000003</v>
      </c>
      <c r="H16" s="347">
        <v>0.98058000000000001</v>
      </c>
      <c r="I16" s="347">
        <v>0.97851999999999995</v>
      </c>
      <c r="J16" s="347">
        <v>0.97516000000000003</v>
      </c>
      <c r="K16" s="347">
        <v>0.96731999999999996</v>
      </c>
      <c r="L16" s="347">
        <v>0.92617000000000005</v>
      </c>
      <c r="M16" s="347">
        <v>0.85870000000000002</v>
      </c>
      <c r="N16" s="347">
        <v>0.72835000000000005</v>
      </c>
      <c r="O16" s="347">
        <v>0.54091</v>
      </c>
      <c r="P16" s="347">
        <v>0.35415999999999997</v>
      </c>
      <c r="Q16" s="347">
        <v>0.19988</v>
      </c>
      <c r="R16" s="347">
        <v>9.5466999999999996E-2</v>
      </c>
    </row>
    <row r="17" spans="1:18" x14ac:dyDescent="0.25">
      <c r="A17" s="350" t="s">
        <v>4158</v>
      </c>
      <c r="B17" s="351">
        <v>71.168999999999997</v>
      </c>
      <c r="C17" s="351">
        <v>22.620999999999999</v>
      </c>
      <c r="D17" s="351">
        <v>71</v>
      </c>
      <c r="E17" s="348">
        <v>0.99053000000000002</v>
      </c>
      <c r="F17" s="348">
        <v>0.98833000000000004</v>
      </c>
      <c r="G17" s="348">
        <v>0.98646</v>
      </c>
      <c r="H17" s="348">
        <v>0.98380000000000001</v>
      </c>
      <c r="I17" s="348">
        <v>0.97985</v>
      </c>
      <c r="J17" s="348">
        <v>0.97538999999999998</v>
      </c>
      <c r="K17" s="348">
        <v>0.96860999999999997</v>
      </c>
      <c r="L17" s="348">
        <v>0.93411999999999995</v>
      </c>
      <c r="M17" s="348">
        <v>0.86329</v>
      </c>
      <c r="N17" s="348">
        <v>0.73180000000000001</v>
      </c>
      <c r="O17" s="348">
        <v>0.53193999999999997</v>
      </c>
      <c r="P17" s="348">
        <v>0.32401999999999997</v>
      </c>
      <c r="Q17" s="348">
        <v>0.17244000000000001</v>
      </c>
      <c r="R17" s="348">
        <v>8.7955000000000005E-2</v>
      </c>
    </row>
    <row r="18" spans="1:18" x14ac:dyDescent="0.25">
      <c r="A18" s="350" t="s">
        <v>4159</v>
      </c>
      <c r="B18" s="351">
        <v>93.006</v>
      </c>
      <c r="C18" s="351">
        <v>33.222999999999999</v>
      </c>
      <c r="D18" s="351">
        <v>93</v>
      </c>
      <c r="E18" s="347">
        <v>0.98665000000000003</v>
      </c>
      <c r="F18" s="347">
        <v>0.98401000000000005</v>
      </c>
      <c r="G18" s="347">
        <v>0.98128000000000004</v>
      </c>
      <c r="H18" s="347">
        <v>0.97726999999999997</v>
      </c>
      <c r="I18" s="347">
        <v>0.97468999999999995</v>
      </c>
      <c r="J18" s="347">
        <v>0.97306999999999999</v>
      </c>
      <c r="K18" s="347">
        <v>0.97106000000000003</v>
      </c>
      <c r="L18" s="347">
        <v>0.95903000000000005</v>
      </c>
      <c r="M18" s="347">
        <v>0.92652000000000001</v>
      </c>
      <c r="N18" s="347">
        <v>0.88017000000000001</v>
      </c>
      <c r="O18" s="347">
        <v>0.82121999999999995</v>
      </c>
      <c r="P18" s="347">
        <v>0.72721000000000002</v>
      </c>
      <c r="Q18" s="347">
        <v>0.56864999999999999</v>
      </c>
      <c r="R18" s="347">
        <v>0.37446000000000002</v>
      </c>
    </row>
    <row r="19" spans="1:18" x14ac:dyDescent="0.25">
      <c r="A19" s="350" t="s">
        <v>4160</v>
      </c>
      <c r="B19" s="351">
        <v>71.278000000000006</v>
      </c>
      <c r="C19" s="351">
        <v>26.356999999999999</v>
      </c>
      <c r="D19" s="351">
        <v>71</v>
      </c>
      <c r="E19" s="347">
        <v>0.98602000000000001</v>
      </c>
      <c r="F19" s="347">
        <v>0.98241000000000001</v>
      </c>
      <c r="G19" s="347">
        <v>0.97697000000000001</v>
      </c>
      <c r="H19" s="347">
        <v>0.97389999999999999</v>
      </c>
      <c r="I19" s="347">
        <v>0.97148000000000001</v>
      </c>
      <c r="J19" s="347">
        <v>0.96662999999999999</v>
      </c>
      <c r="K19" s="347">
        <v>0.95496999999999999</v>
      </c>
      <c r="L19" s="347">
        <v>0.90580000000000005</v>
      </c>
      <c r="M19" s="347">
        <v>0.84579000000000004</v>
      </c>
      <c r="N19" s="347">
        <v>0.74550000000000005</v>
      </c>
      <c r="O19" s="347">
        <v>0.54208000000000001</v>
      </c>
      <c r="P19" s="347">
        <v>0.30180000000000001</v>
      </c>
      <c r="Q19" s="347">
        <v>0.15647</v>
      </c>
      <c r="R19" s="347">
        <v>9.5991999999999994E-2</v>
      </c>
    </row>
    <row r="20" spans="1:18" x14ac:dyDescent="0.25">
      <c r="A20" s="350" t="s">
        <v>4165</v>
      </c>
      <c r="B20" s="351">
        <v>74.408000000000001</v>
      </c>
      <c r="C20" s="351">
        <v>25.984000000000002</v>
      </c>
      <c r="D20" s="351">
        <v>72</v>
      </c>
      <c r="E20" s="347">
        <v>0.98572000000000004</v>
      </c>
      <c r="F20" s="347">
        <v>0.97865999999999997</v>
      </c>
      <c r="G20" s="347">
        <v>0.97653999999999996</v>
      </c>
      <c r="H20" s="347">
        <v>0.9748</v>
      </c>
      <c r="I20" s="347">
        <v>0.97304999999999997</v>
      </c>
      <c r="J20" s="347">
        <v>0.97101999999999999</v>
      </c>
      <c r="K20" s="347">
        <v>0.96836</v>
      </c>
      <c r="L20" s="347">
        <v>0.95504999999999995</v>
      </c>
      <c r="M20" s="347">
        <v>0.88834000000000002</v>
      </c>
      <c r="N20" s="347">
        <v>0.72031999999999996</v>
      </c>
      <c r="O20" s="347">
        <v>0.54063000000000005</v>
      </c>
      <c r="P20" s="347">
        <v>0.40144000000000002</v>
      </c>
      <c r="Q20" s="347">
        <v>0.26193</v>
      </c>
      <c r="R20" s="347">
        <v>0.14551</v>
      </c>
    </row>
    <row r="21" spans="1:18" x14ac:dyDescent="0.25">
      <c r="A21" s="350" t="s">
        <v>4166</v>
      </c>
      <c r="B21" s="351">
        <v>75.233000000000004</v>
      </c>
      <c r="C21" s="351">
        <v>24.925000000000001</v>
      </c>
      <c r="D21" s="351">
        <v>75</v>
      </c>
      <c r="E21" s="347">
        <v>0.98721000000000003</v>
      </c>
      <c r="F21" s="347">
        <v>0.98357000000000006</v>
      </c>
      <c r="G21" s="347">
        <v>0.97809000000000001</v>
      </c>
      <c r="H21" s="347">
        <v>0.97506000000000004</v>
      </c>
      <c r="I21" s="347">
        <v>0.97323999999999999</v>
      </c>
      <c r="J21" s="347">
        <v>0.97128000000000003</v>
      </c>
      <c r="K21" s="347">
        <v>0.96875</v>
      </c>
      <c r="L21" s="347">
        <v>0.95645999999999998</v>
      </c>
      <c r="M21" s="347">
        <v>0.89885999999999999</v>
      </c>
      <c r="N21" s="347">
        <v>0.75395000000000001</v>
      </c>
      <c r="O21" s="347">
        <v>0.58106999999999998</v>
      </c>
      <c r="P21" s="347">
        <v>0.42370000000000002</v>
      </c>
      <c r="Q21" s="347">
        <v>0.26566000000000001</v>
      </c>
      <c r="R21" s="347">
        <v>0.14144000000000001</v>
      </c>
    </row>
    <row r="22" spans="1:18" x14ac:dyDescent="0.25">
      <c r="A22" s="350" t="s">
        <v>4161</v>
      </c>
      <c r="B22" s="354">
        <v>32.118000000000002</v>
      </c>
      <c r="C22" s="354">
        <v>14.75</v>
      </c>
      <c r="D22" s="354">
        <v>32</v>
      </c>
      <c r="E22" s="347">
        <v>0.98594000000000004</v>
      </c>
      <c r="F22" s="347">
        <v>0.98041</v>
      </c>
      <c r="G22" s="347">
        <v>0.97246999999999995</v>
      </c>
      <c r="H22" s="347">
        <v>0.94343999999999995</v>
      </c>
      <c r="I22" s="347">
        <v>0.88475000000000004</v>
      </c>
      <c r="J22" s="347">
        <v>0.79218999999999995</v>
      </c>
      <c r="K22" s="347">
        <v>0.61634</v>
      </c>
      <c r="L22" s="347">
        <v>0.18426999999999999</v>
      </c>
      <c r="M22" s="347">
        <v>4.2826000000000003E-2</v>
      </c>
      <c r="N22" s="347">
        <v>1.4876E-2</v>
      </c>
      <c r="O22" s="347">
        <v>8.7638000000000004E-3</v>
      </c>
      <c r="P22" s="347">
        <v>6.6296999999999997E-3</v>
      </c>
      <c r="Q22" s="347">
        <v>4.8549999999999999E-3</v>
      </c>
      <c r="R22" s="347">
        <v>3.5525000000000001E-3</v>
      </c>
    </row>
    <row r="23" spans="1:18" x14ac:dyDescent="0.25">
      <c r="A23" s="350" t="s">
        <v>4162</v>
      </c>
      <c r="B23" s="351">
        <v>74.224000000000004</v>
      </c>
      <c r="C23" s="351">
        <v>23.548999999999999</v>
      </c>
      <c r="D23" s="351">
        <v>75</v>
      </c>
      <c r="E23" s="347">
        <v>0.98695999999999995</v>
      </c>
      <c r="F23" s="347">
        <v>0.98426999999999998</v>
      </c>
      <c r="G23" s="347">
        <v>0.98224</v>
      </c>
      <c r="H23" s="347">
        <v>0.97984000000000004</v>
      </c>
      <c r="I23" s="347">
        <v>0.97602</v>
      </c>
      <c r="J23" s="347">
        <v>0.97121000000000002</v>
      </c>
      <c r="K23" s="347">
        <v>0.96397999999999995</v>
      </c>
      <c r="L23" s="347">
        <v>0.93342999999999998</v>
      </c>
      <c r="M23" s="347">
        <v>0.89666999999999997</v>
      </c>
      <c r="N23" s="347">
        <v>0.82096999999999998</v>
      </c>
      <c r="O23" s="347">
        <v>0.64136000000000004</v>
      </c>
      <c r="P23" s="347">
        <v>0.38724999999999998</v>
      </c>
      <c r="Q23" s="347">
        <v>0.18940000000000001</v>
      </c>
      <c r="R23" s="347">
        <v>8.3833000000000005E-2</v>
      </c>
    </row>
    <row r="24" spans="1:18" x14ac:dyDescent="0.25">
      <c r="A24" s="350" t="s">
        <v>4163</v>
      </c>
      <c r="B24" s="351">
        <v>68.040999999999997</v>
      </c>
      <c r="C24" s="351">
        <v>22.513999999999999</v>
      </c>
      <c r="D24" s="351">
        <v>69</v>
      </c>
      <c r="E24" s="347">
        <v>0.98204999999999998</v>
      </c>
      <c r="F24" s="347">
        <v>0.97850000000000004</v>
      </c>
      <c r="G24" s="347">
        <v>0.97609000000000001</v>
      </c>
      <c r="H24" s="347">
        <v>0.97401000000000004</v>
      </c>
      <c r="I24" s="347">
        <v>0.97187000000000001</v>
      </c>
      <c r="J24" s="347">
        <v>0.96926000000000001</v>
      </c>
      <c r="K24" s="347">
        <v>0.96501999999999999</v>
      </c>
      <c r="L24" s="347">
        <v>0.93310000000000004</v>
      </c>
      <c r="M24" s="347">
        <v>0.83526</v>
      </c>
      <c r="N24" s="347">
        <v>0.6875</v>
      </c>
      <c r="O24" s="347">
        <v>0.49136999999999997</v>
      </c>
      <c r="P24" s="347">
        <v>0.27840999999999999</v>
      </c>
      <c r="Q24" s="347">
        <v>0.11194999999999999</v>
      </c>
      <c r="R24" s="347">
        <v>3.8432000000000001E-2</v>
      </c>
    </row>
    <row r="25" spans="1:18" x14ac:dyDescent="0.25">
      <c r="A25" s="350" t="s">
        <v>4164</v>
      </c>
      <c r="B25" s="351">
        <v>69.614999999999995</v>
      </c>
      <c r="C25" s="351">
        <v>21.946999999999999</v>
      </c>
      <c r="D25" s="351">
        <v>69</v>
      </c>
      <c r="E25" s="347">
        <v>0.98085</v>
      </c>
      <c r="F25" s="347">
        <v>0.97816999999999998</v>
      </c>
      <c r="G25" s="347">
        <v>0.97629999999999995</v>
      </c>
      <c r="H25" s="347">
        <v>0.97458999999999996</v>
      </c>
      <c r="I25" s="347">
        <v>0.97282999999999997</v>
      </c>
      <c r="J25" s="347">
        <v>0.97082999999999997</v>
      </c>
      <c r="K25" s="347">
        <v>0.96816000000000002</v>
      </c>
      <c r="L25" s="347">
        <v>0.95306999999999997</v>
      </c>
      <c r="M25" s="347">
        <v>0.88324999999999998</v>
      </c>
      <c r="N25" s="347">
        <v>0.71336999999999995</v>
      </c>
      <c r="O25" s="347">
        <v>0.48912</v>
      </c>
      <c r="P25" s="347">
        <v>0.29027999999999998</v>
      </c>
      <c r="Q25" s="347">
        <v>0.14921999999999999</v>
      </c>
      <c r="R25" s="347">
        <v>6.4328999999999997E-2</v>
      </c>
    </row>
    <row r="26" spans="1:18" s="307" customFormat="1" x14ac:dyDescent="0.25">
      <c r="A26" s="352" t="s">
        <v>4153</v>
      </c>
      <c r="B26" s="353">
        <v>61.750999999999998</v>
      </c>
      <c r="C26" s="300">
        <v>21.5</v>
      </c>
      <c r="D26" s="300">
        <v>61</v>
      </c>
      <c r="E26" s="349">
        <v>0.98385</v>
      </c>
      <c r="F26" s="349">
        <v>0.98163999999999996</v>
      </c>
      <c r="G26" s="349">
        <v>0.97990999999999995</v>
      </c>
      <c r="H26" s="349">
        <v>0.97806000000000004</v>
      </c>
      <c r="I26" s="349">
        <v>0.97557000000000005</v>
      </c>
      <c r="J26" s="349">
        <v>0.97036</v>
      </c>
      <c r="K26" s="349">
        <v>0.95586000000000004</v>
      </c>
      <c r="L26" s="349">
        <v>0.88532999999999995</v>
      </c>
      <c r="M26" s="349">
        <v>0.74270999999999998</v>
      </c>
      <c r="N26" s="349">
        <v>0.52507999999999999</v>
      </c>
      <c r="O26" s="349">
        <v>0.31440000000000001</v>
      </c>
      <c r="P26" s="349">
        <v>0.16775999999999999</v>
      </c>
      <c r="Q26" s="349">
        <v>9.6052999999999999E-2</v>
      </c>
      <c r="R26" s="349">
        <v>5.2108000000000002E-2</v>
      </c>
    </row>
    <row r="27" spans="1:18" s="307" customFormat="1" ht="15.75" thickBot="1" x14ac:dyDescent="0.3">
      <c r="A27" s="360" t="s">
        <v>4154</v>
      </c>
      <c r="B27" s="361">
        <v>62.337000000000003</v>
      </c>
      <c r="C27" s="361">
        <v>21.99</v>
      </c>
      <c r="D27" s="362">
        <v>61</v>
      </c>
      <c r="E27" s="363">
        <v>0.98377000000000003</v>
      </c>
      <c r="F27" s="363">
        <v>0.98150000000000004</v>
      </c>
      <c r="G27" s="363">
        <v>0.97972999999999999</v>
      </c>
      <c r="H27" s="363">
        <v>0.97775000000000001</v>
      </c>
      <c r="I27" s="363">
        <v>0.97482999999999997</v>
      </c>
      <c r="J27" s="363">
        <v>0.96857000000000004</v>
      </c>
      <c r="K27" s="363">
        <v>0.95126999999999995</v>
      </c>
      <c r="L27" s="363">
        <v>0.87150000000000005</v>
      </c>
      <c r="M27" s="363">
        <v>0.73858000000000001</v>
      </c>
      <c r="N27" s="363">
        <v>0.53025</v>
      </c>
      <c r="O27" s="363">
        <v>0.35177999999999998</v>
      </c>
      <c r="P27" s="363">
        <v>0.21415999999999999</v>
      </c>
      <c r="Q27" s="363">
        <v>0.11037</v>
      </c>
      <c r="R27" s="363">
        <v>4.3282000000000001E-2</v>
      </c>
    </row>
    <row r="28" spans="1:18" x14ac:dyDescent="0.25">
      <c r="A28" s="350" t="s">
        <v>4137</v>
      </c>
      <c r="B28" s="351">
        <f>AVERAGE(B14:B27)</f>
        <v>68.968499999999992</v>
      </c>
      <c r="C28" s="351">
        <f>AVERAGE(C14:C27)</f>
        <v>23.625000000000004</v>
      </c>
      <c r="D28" s="351">
        <f>AVERAGE(D14:D27)</f>
        <v>68.571428571428569</v>
      </c>
      <c r="E28" s="347">
        <f>AVERAGE(E14:E27)</f>
        <v>0.98500571428571426</v>
      </c>
      <c r="F28" s="347">
        <f t="shared" ref="F28:R28" si="2">AVERAGE(F14:F27)</f>
        <v>0.98154857142857144</v>
      </c>
      <c r="G28" s="347">
        <f t="shared" si="2"/>
        <v>0.97862285714285702</v>
      </c>
      <c r="H28" s="347">
        <f t="shared" si="2"/>
        <v>0.97443714285714278</v>
      </c>
      <c r="I28" s="347">
        <f t="shared" si="2"/>
        <v>0.96802642857142851</v>
      </c>
      <c r="J28" s="347">
        <f t="shared" si="2"/>
        <v>0.95832214285714279</v>
      </c>
      <c r="K28" s="347">
        <f t="shared" si="2"/>
        <v>0.9395764285714282</v>
      </c>
      <c r="L28" s="347">
        <f t="shared" si="2"/>
        <v>0.87747285714285705</v>
      </c>
      <c r="M28" s="347">
        <f t="shared" si="2"/>
        <v>0.79958685714285738</v>
      </c>
      <c r="N28" s="347">
        <f t="shared" si="2"/>
        <v>0.66864471428571437</v>
      </c>
      <c r="O28" s="347">
        <f t="shared" si="2"/>
        <v>0.48839384285714277</v>
      </c>
      <c r="P28" s="347">
        <f t="shared" si="2"/>
        <v>0.31089069285714288</v>
      </c>
      <c r="Q28" s="347">
        <f t="shared" si="2"/>
        <v>0.18008392857142858</v>
      </c>
      <c r="R28" s="347">
        <f t="shared" si="2"/>
        <v>9.7973678571428593E-2</v>
      </c>
    </row>
    <row r="29" spans="1:18" x14ac:dyDescent="0.25">
      <c r="A29" s="350" t="s">
        <v>4138</v>
      </c>
      <c r="B29" s="351" t="s">
        <v>4139</v>
      </c>
      <c r="C29" s="351" t="s">
        <v>4140</v>
      </c>
      <c r="D29" s="351" t="s">
        <v>4141</v>
      </c>
    </row>
  </sheetData>
  <mergeCells count="1">
    <mergeCell ref="A1:R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0"/>
  <sheetViews>
    <sheetView workbookViewId="0">
      <selection activeCell="L16" sqref="L16"/>
    </sheetView>
  </sheetViews>
  <sheetFormatPr defaultColWidth="8.85546875" defaultRowHeight="15" x14ac:dyDescent="0.25"/>
  <cols>
    <col min="1" max="1" width="12.85546875" customWidth="1"/>
    <col min="2" max="2" width="12.85546875" style="229" customWidth="1"/>
    <col min="3" max="3" width="12.85546875" customWidth="1"/>
    <col min="4" max="4" width="12.85546875" style="229" customWidth="1"/>
    <col min="5" max="5" width="12.85546875" customWidth="1"/>
    <col min="6" max="6" width="12.85546875" style="229" customWidth="1"/>
    <col min="7" max="7" width="12.85546875" customWidth="1"/>
    <col min="8" max="8" width="12.85546875" style="229" customWidth="1"/>
    <col min="9" max="9" width="12.85546875" customWidth="1"/>
    <col min="10" max="10" width="12.85546875" style="229" customWidth="1"/>
    <col min="11" max="12" width="12.85546875" customWidth="1"/>
  </cols>
  <sheetData>
    <row r="1" spans="1:12" s="226" customFormat="1" ht="28.5" customHeight="1" thickBot="1" x14ac:dyDescent="0.35">
      <c r="A1" s="465" t="s">
        <v>4143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</row>
    <row r="2" spans="1:12" x14ac:dyDescent="0.25">
      <c r="A2" s="229" t="s">
        <v>2904</v>
      </c>
      <c r="B2" t="s">
        <v>2932</v>
      </c>
      <c r="C2" t="s">
        <v>2963</v>
      </c>
      <c r="D2" t="s">
        <v>2994</v>
      </c>
      <c r="E2" t="s">
        <v>3018</v>
      </c>
      <c r="F2" t="s">
        <v>2894</v>
      </c>
      <c r="G2" t="s">
        <v>3078</v>
      </c>
      <c r="H2" t="s">
        <v>2695</v>
      </c>
      <c r="I2" t="s">
        <v>3142</v>
      </c>
      <c r="J2" t="s">
        <v>3175</v>
      </c>
      <c r="K2" t="s">
        <v>3200</v>
      </c>
      <c r="L2" t="s">
        <v>252</v>
      </c>
    </row>
    <row r="3" spans="1:12" x14ac:dyDescent="0.25">
      <c r="A3" s="229" t="s">
        <v>2905</v>
      </c>
      <c r="B3" t="s">
        <v>2820</v>
      </c>
      <c r="C3" t="s">
        <v>2677</v>
      </c>
      <c r="D3" t="s">
        <v>2995</v>
      </c>
      <c r="E3" t="s">
        <v>3019</v>
      </c>
      <c r="F3" t="s">
        <v>2895</v>
      </c>
      <c r="G3" t="s">
        <v>2705</v>
      </c>
      <c r="H3" t="s">
        <v>2899</v>
      </c>
      <c r="I3" t="s">
        <v>3143</v>
      </c>
      <c r="J3" t="s">
        <v>2800</v>
      </c>
      <c r="K3" t="s">
        <v>3201</v>
      </c>
      <c r="L3" t="s">
        <v>2817</v>
      </c>
    </row>
    <row r="4" spans="1:12" x14ac:dyDescent="0.25">
      <c r="A4" s="229" t="s">
        <v>2906</v>
      </c>
      <c r="B4" t="s">
        <v>2933</v>
      </c>
      <c r="C4" t="s">
        <v>2964</v>
      </c>
      <c r="D4" t="s">
        <v>2996</v>
      </c>
      <c r="E4" t="s">
        <v>3020</v>
      </c>
      <c r="F4" t="s">
        <v>2896</v>
      </c>
      <c r="G4" t="s">
        <v>3079</v>
      </c>
      <c r="H4" t="s">
        <v>2900</v>
      </c>
      <c r="I4" t="s">
        <v>2877</v>
      </c>
      <c r="J4" t="s">
        <v>2801</v>
      </c>
      <c r="K4" t="s">
        <v>3202</v>
      </c>
      <c r="L4" t="s">
        <v>3230</v>
      </c>
    </row>
    <row r="5" spans="1:12" x14ac:dyDescent="0.25">
      <c r="A5" t="s">
        <v>2888</v>
      </c>
      <c r="B5" t="s">
        <v>2889</v>
      </c>
      <c r="C5" t="s">
        <v>2965</v>
      </c>
      <c r="D5" t="s">
        <v>2854</v>
      </c>
      <c r="E5" t="s">
        <v>2779</v>
      </c>
      <c r="F5" t="s">
        <v>3054</v>
      </c>
      <c r="G5" t="s">
        <v>2785</v>
      </c>
      <c r="H5" t="s">
        <v>3109</v>
      </c>
      <c r="I5" t="s">
        <v>3144</v>
      </c>
      <c r="J5" t="s">
        <v>2802</v>
      </c>
      <c r="K5" t="s">
        <v>2881</v>
      </c>
      <c r="L5" t="s">
        <v>3234</v>
      </c>
    </row>
    <row r="6" spans="1:12" x14ac:dyDescent="0.25">
      <c r="A6" t="s">
        <v>2685</v>
      </c>
      <c r="B6" t="s">
        <v>2848</v>
      </c>
      <c r="C6" t="s">
        <v>2966</v>
      </c>
      <c r="D6" t="s">
        <v>2997</v>
      </c>
      <c r="E6" t="s">
        <v>3021</v>
      </c>
      <c r="F6" t="s">
        <v>3055</v>
      </c>
      <c r="G6" t="s">
        <v>3080</v>
      </c>
      <c r="H6" t="s">
        <v>3110</v>
      </c>
      <c r="I6" t="s">
        <v>3145</v>
      </c>
      <c r="J6" t="s">
        <v>2803</v>
      </c>
      <c r="K6" t="s">
        <v>3203</v>
      </c>
      <c r="L6" t="s">
        <v>2841</v>
      </c>
    </row>
    <row r="7" spans="1:12" x14ac:dyDescent="0.25">
      <c r="A7" t="s">
        <v>2907</v>
      </c>
      <c r="B7" t="s">
        <v>2934</v>
      </c>
      <c r="C7" t="s">
        <v>399</v>
      </c>
      <c r="D7" t="s">
        <v>2697</v>
      </c>
      <c r="E7" t="s">
        <v>505</v>
      </c>
      <c r="F7" t="s">
        <v>3056</v>
      </c>
      <c r="G7" t="s">
        <v>3081</v>
      </c>
      <c r="H7" t="s">
        <v>2688</v>
      </c>
      <c r="I7" t="s">
        <v>2792</v>
      </c>
      <c r="J7" t="s">
        <v>2804</v>
      </c>
      <c r="K7" t="s">
        <v>3204</v>
      </c>
      <c r="L7" t="s">
        <v>2842</v>
      </c>
    </row>
    <row r="8" spans="1:12" x14ac:dyDescent="0.25">
      <c r="A8" t="s">
        <v>2908</v>
      </c>
      <c r="B8" t="s">
        <v>1957</v>
      </c>
      <c r="C8" t="s">
        <v>2967</v>
      </c>
      <c r="D8" t="s">
        <v>2855</v>
      </c>
      <c r="E8" t="s">
        <v>3022</v>
      </c>
      <c r="F8" t="s">
        <v>3057</v>
      </c>
      <c r="G8" t="s">
        <v>3082</v>
      </c>
      <c r="H8" t="s">
        <v>3111</v>
      </c>
      <c r="I8" t="s">
        <v>3146</v>
      </c>
      <c r="J8" s="232" t="s">
        <v>3242</v>
      </c>
      <c r="K8" t="s">
        <v>2251</v>
      </c>
      <c r="L8" t="s">
        <v>3235</v>
      </c>
    </row>
    <row r="9" spans="1:12" x14ac:dyDescent="0.25">
      <c r="A9" t="s">
        <v>2726</v>
      </c>
      <c r="B9" t="s">
        <v>2935</v>
      </c>
      <c r="C9" t="s">
        <v>2968</v>
      </c>
      <c r="D9" t="s">
        <v>2998</v>
      </c>
      <c r="E9" t="s">
        <v>3023</v>
      </c>
      <c r="F9" t="s">
        <v>3058</v>
      </c>
      <c r="G9" t="s">
        <v>3083</v>
      </c>
      <c r="H9" t="s">
        <v>3112</v>
      </c>
      <c r="I9" t="s">
        <v>3147</v>
      </c>
      <c r="J9" s="232" t="s">
        <v>3243</v>
      </c>
      <c r="K9" t="s">
        <v>3205</v>
      </c>
      <c r="L9" t="s">
        <v>3236</v>
      </c>
    </row>
    <row r="10" spans="1:12" x14ac:dyDescent="0.25">
      <c r="A10" t="s">
        <v>2710</v>
      </c>
      <c r="B10" t="s">
        <v>2936</v>
      </c>
      <c r="C10" t="s">
        <v>2853</v>
      </c>
      <c r="D10" t="s">
        <v>2999</v>
      </c>
      <c r="E10" t="s">
        <v>2728</v>
      </c>
      <c r="F10" t="s">
        <v>3059</v>
      </c>
      <c r="G10" t="s">
        <v>3084</v>
      </c>
      <c r="H10" t="s">
        <v>3113</v>
      </c>
      <c r="I10" t="s">
        <v>2793</v>
      </c>
      <c r="J10" s="232" t="s">
        <v>3244</v>
      </c>
      <c r="K10" t="s">
        <v>2882</v>
      </c>
      <c r="L10" t="s">
        <v>3237</v>
      </c>
    </row>
    <row r="11" spans="1:12" x14ac:dyDescent="0.25">
      <c r="A11" t="s">
        <v>2909</v>
      </c>
      <c r="B11" t="s">
        <v>2937</v>
      </c>
      <c r="C11" t="s">
        <v>2969</v>
      </c>
      <c r="D11" t="s">
        <v>3000</v>
      </c>
      <c r="E11" t="s">
        <v>3024</v>
      </c>
      <c r="F11" t="s">
        <v>3060</v>
      </c>
      <c r="G11" t="s">
        <v>3085</v>
      </c>
      <c r="H11" t="s">
        <v>3114</v>
      </c>
      <c r="I11" t="s">
        <v>2794</v>
      </c>
      <c r="J11" t="s">
        <v>2764</v>
      </c>
      <c r="K11" t="s">
        <v>2883</v>
      </c>
      <c r="L11" t="s">
        <v>2887</v>
      </c>
    </row>
    <row r="12" spans="1:12" x14ac:dyDescent="0.25">
      <c r="A12" t="s">
        <v>2910</v>
      </c>
      <c r="B12" t="s">
        <v>2938</v>
      </c>
      <c r="C12" t="s">
        <v>2970</v>
      </c>
      <c r="D12" t="s">
        <v>2692</v>
      </c>
      <c r="E12" t="s">
        <v>3025</v>
      </c>
      <c r="F12" t="s">
        <v>2694</v>
      </c>
      <c r="G12" t="s">
        <v>2868</v>
      </c>
      <c r="H12" t="s">
        <v>3115</v>
      </c>
      <c r="I12" t="s">
        <v>2795</v>
      </c>
      <c r="J12" t="s">
        <v>3176</v>
      </c>
      <c r="K12" t="s">
        <v>3206</v>
      </c>
      <c r="L12" t="s">
        <v>3238</v>
      </c>
    </row>
    <row r="13" spans="1:12" x14ac:dyDescent="0.25">
      <c r="A13" t="s">
        <v>2911</v>
      </c>
      <c r="B13" t="s">
        <v>2686</v>
      </c>
      <c r="C13" t="s">
        <v>2971</v>
      </c>
      <c r="D13" t="s">
        <v>2826</v>
      </c>
      <c r="E13" t="s">
        <v>2861</v>
      </c>
      <c r="F13" t="s">
        <v>2703</v>
      </c>
      <c r="G13" t="s">
        <v>3086</v>
      </c>
      <c r="H13" t="s">
        <v>3116</v>
      </c>
      <c r="I13" t="s">
        <v>3148</v>
      </c>
      <c r="J13" t="s">
        <v>3177</v>
      </c>
      <c r="K13" t="s">
        <v>3207</v>
      </c>
      <c r="L13" t="s">
        <v>3239</v>
      </c>
    </row>
    <row r="14" spans="1:12" x14ac:dyDescent="0.25">
      <c r="A14" t="s">
        <v>2912</v>
      </c>
      <c r="B14" t="s">
        <v>2849</v>
      </c>
      <c r="C14" t="s">
        <v>2675</v>
      </c>
      <c r="D14" t="s">
        <v>3001</v>
      </c>
      <c r="E14" t="s">
        <v>3026</v>
      </c>
      <c r="F14" t="s">
        <v>1229</v>
      </c>
      <c r="G14" t="s">
        <v>3087</v>
      </c>
      <c r="H14" t="s">
        <v>3117</v>
      </c>
      <c r="I14" t="s">
        <v>3149</v>
      </c>
      <c r="J14" t="s">
        <v>2715</v>
      </c>
      <c r="K14" t="s">
        <v>3208</v>
      </c>
      <c r="L14" t="s">
        <v>3240</v>
      </c>
    </row>
    <row r="15" spans="1:12" x14ac:dyDescent="0.25">
      <c r="A15" t="s">
        <v>2913</v>
      </c>
      <c r="B15" t="s">
        <v>2850</v>
      </c>
      <c r="C15" t="s">
        <v>1588</v>
      </c>
      <c r="D15" t="s">
        <v>2827</v>
      </c>
      <c r="E15" t="s">
        <v>3027</v>
      </c>
      <c r="F15" t="s">
        <v>3061</v>
      </c>
      <c r="G15" t="s">
        <v>3088</v>
      </c>
      <c r="H15" t="s">
        <v>2790</v>
      </c>
      <c r="I15" t="s">
        <v>3150</v>
      </c>
      <c r="J15" t="s">
        <v>2840</v>
      </c>
      <c r="K15" t="s">
        <v>3209</v>
      </c>
      <c r="L15" t="s">
        <v>2724</v>
      </c>
    </row>
    <row r="16" spans="1:12" x14ac:dyDescent="0.25">
      <c r="A16" t="s">
        <v>2914</v>
      </c>
      <c r="B16" t="s">
        <v>2939</v>
      </c>
      <c r="C16" t="s">
        <v>2972</v>
      </c>
      <c r="D16" t="s">
        <v>2828</v>
      </c>
      <c r="E16" t="s">
        <v>1413</v>
      </c>
      <c r="F16" t="s">
        <v>2897</v>
      </c>
      <c r="G16" t="s">
        <v>2786</v>
      </c>
      <c r="H16" t="s">
        <v>3118</v>
      </c>
      <c r="I16" t="s">
        <v>3151</v>
      </c>
      <c r="J16" t="s">
        <v>3178</v>
      </c>
      <c r="K16" t="s">
        <v>3210</v>
      </c>
      <c r="L16" t="s">
        <v>3241</v>
      </c>
    </row>
    <row r="17" spans="1:11" x14ac:dyDescent="0.25">
      <c r="A17" t="s">
        <v>2708</v>
      </c>
      <c r="B17" t="s">
        <v>2772</v>
      </c>
      <c r="C17" t="s">
        <v>2821</v>
      </c>
      <c r="D17" t="s">
        <v>2829</v>
      </c>
      <c r="E17" t="s">
        <v>3028</v>
      </c>
      <c r="F17" t="s">
        <v>2864</v>
      </c>
      <c r="G17" t="s">
        <v>2787</v>
      </c>
      <c r="H17" t="s">
        <v>3119</v>
      </c>
      <c r="I17" t="s">
        <v>2838</v>
      </c>
      <c r="J17" t="s">
        <v>3179</v>
      </c>
      <c r="K17" t="s">
        <v>1438</v>
      </c>
    </row>
    <row r="18" spans="1:11" x14ac:dyDescent="0.25">
      <c r="A18" t="s">
        <v>2915</v>
      </c>
      <c r="B18" t="s">
        <v>2940</v>
      </c>
      <c r="C18" t="s">
        <v>2973</v>
      </c>
      <c r="D18" t="s">
        <v>2830</v>
      </c>
      <c r="E18" t="s">
        <v>2680</v>
      </c>
      <c r="F18" t="s">
        <v>3062</v>
      </c>
      <c r="G18" t="s">
        <v>3089</v>
      </c>
      <c r="H18" t="s">
        <v>3120</v>
      </c>
      <c r="I18" t="s">
        <v>3152</v>
      </c>
      <c r="J18" t="s">
        <v>2805</v>
      </c>
      <c r="K18" t="s">
        <v>3211</v>
      </c>
    </row>
    <row r="19" spans="1:11" x14ac:dyDescent="0.25">
      <c r="A19" t="s">
        <v>2768</v>
      </c>
      <c r="B19" t="s">
        <v>2941</v>
      </c>
      <c r="C19" t="s">
        <v>2974</v>
      </c>
      <c r="D19" t="s">
        <v>2831</v>
      </c>
      <c r="E19" t="s">
        <v>3029</v>
      </c>
      <c r="F19" t="s">
        <v>3063</v>
      </c>
      <c r="G19" t="s">
        <v>3090</v>
      </c>
      <c r="H19" t="s">
        <v>2698</v>
      </c>
      <c r="I19" t="s">
        <v>2796</v>
      </c>
      <c r="J19" t="s">
        <v>3180</v>
      </c>
      <c r="K19" t="s">
        <v>3212</v>
      </c>
    </row>
    <row r="20" spans="1:11" x14ac:dyDescent="0.25">
      <c r="A20" t="s">
        <v>2916</v>
      </c>
      <c r="B20" t="s">
        <v>2942</v>
      </c>
      <c r="C20" t="s">
        <v>2975</v>
      </c>
      <c r="D20" t="s">
        <v>2832</v>
      </c>
      <c r="E20" t="s">
        <v>2687</v>
      </c>
      <c r="F20" t="s">
        <v>2711</v>
      </c>
      <c r="G20" t="s">
        <v>3091</v>
      </c>
      <c r="H20" t="s">
        <v>3121</v>
      </c>
      <c r="I20" t="s">
        <v>3153</v>
      </c>
      <c r="J20" t="s">
        <v>3181</v>
      </c>
      <c r="K20" t="s">
        <v>3213</v>
      </c>
    </row>
    <row r="21" spans="1:11" x14ac:dyDescent="0.25">
      <c r="A21" t="s">
        <v>2843</v>
      </c>
      <c r="B21" t="s">
        <v>2943</v>
      </c>
      <c r="C21" t="s">
        <v>2617</v>
      </c>
      <c r="D21" t="s">
        <v>2833</v>
      </c>
      <c r="E21" t="s">
        <v>3030</v>
      </c>
      <c r="F21" t="s">
        <v>2721</v>
      </c>
      <c r="G21" t="s">
        <v>2869</v>
      </c>
      <c r="H21" t="s">
        <v>3122</v>
      </c>
      <c r="I21" t="s">
        <v>3154</v>
      </c>
      <c r="J21" t="s">
        <v>3182</v>
      </c>
      <c r="K21" t="s">
        <v>2812</v>
      </c>
    </row>
    <row r="22" spans="1:11" x14ac:dyDescent="0.25">
      <c r="A22" t="s">
        <v>943</v>
      </c>
      <c r="B22" t="s">
        <v>2729</v>
      </c>
      <c r="C22" t="s">
        <v>2696</v>
      </c>
      <c r="D22" t="s">
        <v>2722</v>
      </c>
      <c r="E22" t="s">
        <v>3031</v>
      </c>
      <c r="F22" t="s">
        <v>707</v>
      </c>
      <c r="G22" t="s">
        <v>2834</v>
      </c>
      <c r="H22" t="s">
        <v>2874</v>
      </c>
      <c r="I22" t="s">
        <v>3155</v>
      </c>
      <c r="J22" t="s">
        <v>2806</v>
      </c>
      <c r="K22" t="s">
        <v>3214</v>
      </c>
    </row>
    <row r="23" spans="1:11" x14ac:dyDescent="0.25">
      <c r="A23" t="s">
        <v>1552</v>
      </c>
      <c r="B23" t="s">
        <v>2944</v>
      </c>
      <c r="C23" t="s">
        <v>2777</v>
      </c>
      <c r="D23" t="s">
        <v>3002</v>
      </c>
      <c r="E23" t="s">
        <v>3032</v>
      </c>
      <c r="F23" t="s">
        <v>1347</v>
      </c>
      <c r="G23" t="s">
        <v>3092</v>
      </c>
      <c r="H23" t="s">
        <v>3123</v>
      </c>
      <c r="I23" t="s">
        <v>3156</v>
      </c>
      <c r="J23" t="s">
        <v>3183</v>
      </c>
      <c r="K23" t="s">
        <v>2884</v>
      </c>
    </row>
    <row r="24" spans="1:11" x14ac:dyDescent="0.25">
      <c r="A24" t="s">
        <v>2917</v>
      </c>
      <c r="B24" t="s">
        <v>2945</v>
      </c>
      <c r="C24" t="s">
        <v>2976</v>
      </c>
      <c r="D24" t="s">
        <v>3003</v>
      </c>
      <c r="E24" t="s">
        <v>2699</v>
      </c>
      <c r="F24" t="s">
        <v>2691</v>
      </c>
      <c r="G24" t="s">
        <v>3093</v>
      </c>
      <c r="H24" t="s">
        <v>3124</v>
      </c>
      <c r="I24" t="s">
        <v>3157</v>
      </c>
      <c r="J24" t="s">
        <v>2807</v>
      </c>
      <c r="K24" t="s">
        <v>3215</v>
      </c>
    </row>
    <row r="25" spans="1:11" x14ac:dyDescent="0.25">
      <c r="A25" t="s">
        <v>2918</v>
      </c>
      <c r="B25" t="s">
        <v>2946</v>
      </c>
      <c r="C25" t="s">
        <v>2977</v>
      </c>
      <c r="D25" t="s">
        <v>2856</v>
      </c>
      <c r="E25" t="s">
        <v>3033</v>
      </c>
      <c r="F25" t="s">
        <v>3064</v>
      </c>
      <c r="G25" t="s">
        <v>2674</v>
      </c>
      <c r="H25" t="s">
        <v>3125</v>
      </c>
      <c r="I25" t="s">
        <v>3158</v>
      </c>
      <c r="J25" t="s">
        <v>2808</v>
      </c>
      <c r="K25" t="s">
        <v>3216</v>
      </c>
    </row>
    <row r="26" spans="1:11" x14ac:dyDescent="0.25">
      <c r="A26" t="s">
        <v>2919</v>
      </c>
      <c r="B26" t="s">
        <v>2947</v>
      </c>
      <c r="C26" t="s">
        <v>2978</v>
      </c>
      <c r="D26" t="s">
        <v>3004</v>
      </c>
      <c r="E26" t="s">
        <v>3034</v>
      </c>
      <c r="F26" t="s">
        <v>2898</v>
      </c>
      <c r="G26" t="s">
        <v>3094</v>
      </c>
      <c r="H26" t="s">
        <v>3126</v>
      </c>
      <c r="I26" t="s">
        <v>2797</v>
      </c>
      <c r="J26" t="s">
        <v>3184</v>
      </c>
      <c r="K26" t="s">
        <v>3217</v>
      </c>
    </row>
    <row r="27" spans="1:11" x14ac:dyDescent="0.25">
      <c r="A27" t="s">
        <v>2844</v>
      </c>
      <c r="B27" t="s">
        <v>2948</v>
      </c>
      <c r="C27" t="s">
        <v>2979</v>
      </c>
      <c r="D27" t="s">
        <v>3005</v>
      </c>
      <c r="E27" t="s">
        <v>3035</v>
      </c>
      <c r="F27" t="s">
        <v>3065</v>
      </c>
      <c r="G27" t="s">
        <v>3095</v>
      </c>
      <c r="H27" t="s">
        <v>2716</v>
      </c>
      <c r="I27" t="s">
        <v>3159</v>
      </c>
      <c r="J27" t="s">
        <v>2878</v>
      </c>
      <c r="K27" t="s">
        <v>2813</v>
      </c>
    </row>
    <row r="28" spans="1:11" x14ac:dyDescent="0.25">
      <c r="A28" t="s">
        <v>2920</v>
      </c>
      <c r="B28" t="s">
        <v>2949</v>
      </c>
      <c r="C28" t="s">
        <v>2980</v>
      </c>
      <c r="D28" t="s">
        <v>3006</v>
      </c>
      <c r="E28" t="s">
        <v>3036</v>
      </c>
      <c r="F28" t="s">
        <v>3066</v>
      </c>
      <c r="G28" t="s">
        <v>3096</v>
      </c>
      <c r="H28" t="s">
        <v>3127</v>
      </c>
      <c r="I28" t="s">
        <v>3160</v>
      </c>
      <c r="J28" t="s">
        <v>2689</v>
      </c>
      <c r="K28" t="s">
        <v>3218</v>
      </c>
    </row>
    <row r="29" spans="1:11" x14ac:dyDescent="0.25">
      <c r="A29" t="s">
        <v>2818</v>
      </c>
      <c r="B29" t="s">
        <v>2950</v>
      </c>
      <c r="C29" t="s">
        <v>2981</v>
      </c>
      <c r="D29" t="s">
        <v>1810</v>
      </c>
      <c r="E29" t="s">
        <v>3037</v>
      </c>
      <c r="F29" t="s">
        <v>2719</v>
      </c>
      <c r="G29" t="s">
        <v>3097</v>
      </c>
      <c r="H29" t="s">
        <v>2901</v>
      </c>
      <c r="I29" t="s">
        <v>2839</v>
      </c>
      <c r="J29" t="s">
        <v>2879</v>
      </c>
      <c r="K29" t="s">
        <v>3219</v>
      </c>
    </row>
    <row r="30" spans="1:11" x14ac:dyDescent="0.25">
      <c r="A30" t="s">
        <v>2009</v>
      </c>
      <c r="B30" t="s">
        <v>2951</v>
      </c>
      <c r="C30" t="s">
        <v>2982</v>
      </c>
      <c r="D30" t="s">
        <v>2720</v>
      </c>
      <c r="E30" t="s">
        <v>3038</v>
      </c>
      <c r="F30" t="s">
        <v>3067</v>
      </c>
      <c r="G30" t="s">
        <v>2835</v>
      </c>
      <c r="H30" t="s">
        <v>2902</v>
      </c>
      <c r="I30" t="s">
        <v>2718</v>
      </c>
      <c r="J30" t="s">
        <v>2809</v>
      </c>
      <c r="K30" t="s">
        <v>3220</v>
      </c>
    </row>
    <row r="31" spans="1:11" x14ac:dyDescent="0.25">
      <c r="A31" t="s">
        <v>2845</v>
      </c>
      <c r="B31" t="s">
        <v>2773</v>
      </c>
      <c r="C31" t="s">
        <v>2727</v>
      </c>
      <c r="D31" t="s">
        <v>2891</v>
      </c>
      <c r="E31" t="s">
        <v>2862</v>
      </c>
      <c r="F31" t="s">
        <v>3068</v>
      </c>
      <c r="G31" t="s">
        <v>3098</v>
      </c>
      <c r="H31" t="s">
        <v>3128</v>
      </c>
      <c r="I31" t="s">
        <v>2798</v>
      </c>
      <c r="J31" t="s">
        <v>3185</v>
      </c>
      <c r="K31" t="s">
        <v>3221</v>
      </c>
    </row>
    <row r="32" spans="1:11" x14ac:dyDescent="0.25">
      <c r="A32" t="s">
        <v>2769</v>
      </c>
      <c r="B32" t="s">
        <v>2774</v>
      </c>
      <c r="C32" t="s">
        <v>2983</v>
      </c>
      <c r="D32" t="s">
        <v>2766</v>
      </c>
      <c r="E32" t="s">
        <v>3039</v>
      </c>
      <c r="F32" t="s">
        <v>2725</v>
      </c>
      <c r="G32" t="s">
        <v>3099</v>
      </c>
      <c r="H32" t="s">
        <v>1409</v>
      </c>
      <c r="I32" t="s">
        <v>3161</v>
      </c>
      <c r="J32" t="s">
        <v>3186</v>
      </c>
      <c r="K32" t="s">
        <v>3222</v>
      </c>
    </row>
    <row r="33" spans="1:11" x14ac:dyDescent="0.25">
      <c r="A33" t="s">
        <v>2709</v>
      </c>
      <c r="B33" t="s">
        <v>2701</v>
      </c>
      <c r="C33" t="s">
        <v>2890</v>
      </c>
      <c r="D33" t="s">
        <v>2376</v>
      </c>
      <c r="E33" t="s">
        <v>3040</v>
      </c>
      <c r="F33" t="s">
        <v>2865</v>
      </c>
      <c r="G33" t="s">
        <v>3100</v>
      </c>
      <c r="H33" t="s">
        <v>510</v>
      </c>
      <c r="I33" t="s">
        <v>3162</v>
      </c>
      <c r="J33" t="s">
        <v>2723</v>
      </c>
      <c r="K33" t="s">
        <v>3223</v>
      </c>
    </row>
    <row r="34" spans="1:11" x14ac:dyDescent="0.25">
      <c r="A34" t="s">
        <v>2846</v>
      </c>
      <c r="B34" t="s">
        <v>2952</v>
      </c>
      <c r="C34" t="s">
        <v>2984</v>
      </c>
      <c r="D34" t="s">
        <v>2857</v>
      </c>
      <c r="E34" t="s">
        <v>3041</v>
      </c>
      <c r="F34" t="s">
        <v>3069</v>
      </c>
      <c r="G34" t="s">
        <v>2870</v>
      </c>
      <c r="H34" t="s">
        <v>3129</v>
      </c>
      <c r="I34" t="s">
        <v>2684</v>
      </c>
      <c r="J34" t="s">
        <v>2693</v>
      </c>
      <c r="K34" t="s">
        <v>3224</v>
      </c>
    </row>
    <row r="35" spans="1:11" x14ac:dyDescent="0.25">
      <c r="A35" t="s">
        <v>2921</v>
      </c>
      <c r="B35" t="s">
        <v>2730</v>
      </c>
      <c r="C35" t="s">
        <v>2985</v>
      </c>
      <c r="D35" t="s">
        <v>3007</v>
      </c>
      <c r="E35" t="s">
        <v>3042</v>
      </c>
      <c r="F35" t="s">
        <v>2866</v>
      </c>
      <c r="G35" t="s">
        <v>2871</v>
      </c>
      <c r="H35" t="s">
        <v>3130</v>
      </c>
      <c r="I35" t="s">
        <v>3163</v>
      </c>
      <c r="J35" t="s">
        <v>3187</v>
      </c>
      <c r="K35" t="s">
        <v>2885</v>
      </c>
    </row>
    <row r="36" spans="1:11" x14ac:dyDescent="0.25">
      <c r="A36" t="s">
        <v>2922</v>
      </c>
      <c r="B36" t="s">
        <v>2953</v>
      </c>
      <c r="C36" t="s">
        <v>2986</v>
      </c>
      <c r="D36" t="s">
        <v>2858</v>
      </c>
      <c r="E36" t="s">
        <v>2780</v>
      </c>
      <c r="F36" t="s">
        <v>2867</v>
      </c>
      <c r="G36" t="s">
        <v>2690</v>
      </c>
      <c r="H36" t="s">
        <v>3131</v>
      </c>
      <c r="I36" t="s">
        <v>2702</v>
      </c>
      <c r="J36" t="s">
        <v>3188</v>
      </c>
      <c r="K36" t="s">
        <v>3225</v>
      </c>
    </row>
    <row r="37" spans="1:11" x14ac:dyDescent="0.25">
      <c r="A37" t="s">
        <v>2923</v>
      </c>
      <c r="B37" t="s">
        <v>2851</v>
      </c>
      <c r="C37" t="s">
        <v>2987</v>
      </c>
      <c r="D37" t="s">
        <v>3008</v>
      </c>
      <c r="E37" t="s">
        <v>3043</v>
      </c>
      <c r="F37" t="s">
        <v>3070</v>
      </c>
      <c r="G37" t="s">
        <v>2788</v>
      </c>
      <c r="H37" t="s">
        <v>3132</v>
      </c>
      <c r="I37" t="s">
        <v>2903</v>
      </c>
      <c r="J37" s="229" t="s">
        <v>349</v>
      </c>
      <c r="K37" t="s">
        <v>3226</v>
      </c>
    </row>
    <row r="38" spans="1:11" x14ac:dyDescent="0.25">
      <c r="A38" t="s">
        <v>2924</v>
      </c>
      <c r="B38" t="s">
        <v>2775</v>
      </c>
      <c r="C38" t="s">
        <v>2988</v>
      </c>
      <c r="D38" t="s">
        <v>3009</v>
      </c>
      <c r="E38" t="s">
        <v>3044</v>
      </c>
      <c r="F38" t="s">
        <v>3071</v>
      </c>
      <c r="G38" t="s">
        <v>3101</v>
      </c>
      <c r="H38" t="s">
        <v>3133</v>
      </c>
      <c r="I38" t="s">
        <v>3164</v>
      </c>
      <c r="J38" s="229" t="s">
        <v>3189</v>
      </c>
      <c r="K38" t="s">
        <v>2679</v>
      </c>
    </row>
    <row r="39" spans="1:11" x14ac:dyDescent="0.25">
      <c r="A39" t="s">
        <v>2925</v>
      </c>
      <c r="B39" t="s">
        <v>2776</v>
      </c>
      <c r="C39" t="s">
        <v>2989</v>
      </c>
      <c r="D39" t="s">
        <v>2892</v>
      </c>
      <c r="E39" t="s">
        <v>2863</v>
      </c>
      <c r="F39" t="s">
        <v>3072</v>
      </c>
      <c r="G39" t="s">
        <v>3102</v>
      </c>
      <c r="H39" t="s">
        <v>3134</v>
      </c>
      <c r="I39" t="s">
        <v>3165</v>
      </c>
      <c r="J39" s="229" t="s">
        <v>3190</v>
      </c>
      <c r="K39" t="s">
        <v>2814</v>
      </c>
    </row>
    <row r="40" spans="1:11" x14ac:dyDescent="0.25">
      <c r="A40" t="s">
        <v>2926</v>
      </c>
      <c r="B40" t="s">
        <v>2852</v>
      </c>
      <c r="C40" t="s">
        <v>2990</v>
      </c>
      <c r="D40" t="s">
        <v>3010</v>
      </c>
      <c r="E40" t="s">
        <v>3045</v>
      </c>
      <c r="F40" t="s">
        <v>2781</v>
      </c>
      <c r="G40" t="s">
        <v>3103</v>
      </c>
      <c r="H40" t="s">
        <v>3135</v>
      </c>
      <c r="I40" t="s">
        <v>3166</v>
      </c>
      <c r="J40" t="s">
        <v>3191</v>
      </c>
      <c r="K40" t="s">
        <v>2815</v>
      </c>
    </row>
    <row r="41" spans="1:11" x14ac:dyDescent="0.25">
      <c r="A41" t="s">
        <v>2927</v>
      </c>
      <c r="B41" t="s">
        <v>2954</v>
      </c>
      <c r="C41" t="s">
        <v>2991</v>
      </c>
      <c r="D41" t="s">
        <v>3011</v>
      </c>
      <c r="E41" t="s">
        <v>1022</v>
      </c>
      <c r="F41" t="s">
        <v>2782</v>
      </c>
      <c r="G41" t="s">
        <v>2836</v>
      </c>
      <c r="H41" t="s">
        <v>2875</v>
      </c>
      <c r="I41" t="s">
        <v>3167</v>
      </c>
      <c r="J41" t="s">
        <v>3192</v>
      </c>
      <c r="K41" t="s">
        <v>2678</v>
      </c>
    </row>
    <row r="42" spans="1:11" x14ac:dyDescent="0.25">
      <c r="A42" t="s">
        <v>2928</v>
      </c>
      <c r="B42" t="s">
        <v>782</v>
      </c>
      <c r="C42" t="s">
        <v>2706</v>
      </c>
      <c r="D42" t="s">
        <v>2712</v>
      </c>
      <c r="E42" t="s">
        <v>3046</v>
      </c>
      <c r="F42" t="s">
        <v>2682</v>
      </c>
      <c r="G42" t="s">
        <v>3104</v>
      </c>
      <c r="H42" t="s">
        <v>2876</v>
      </c>
      <c r="I42" t="s">
        <v>3168</v>
      </c>
      <c r="J42" t="s">
        <v>2810</v>
      </c>
      <c r="K42" t="s">
        <v>3227</v>
      </c>
    </row>
    <row r="43" spans="1:11" x14ac:dyDescent="0.25">
      <c r="A43" t="s">
        <v>2847</v>
      </c>
      <c r="B43" t="s">
        <v>2955</v>
      </c>
      <c r="C43" t="s">
        <v>2778</v>
      </c>
      <c r="D43" t="s">
        <v>2859</v>
      </c>
      <c r="E43" t="s">
        <v>3047</v>
      </c>
      <c r="F43" t="s">
        <v>2783</v>
      </c>
      <c r="G43" t="s">
        <v>3105</v>
      </c>
      <c r="H43" t="s">
        <v>2791</v>
      </c>
      <c r="I43" t="s">
        <v>3169</v>
      </c>
      <c r="J43" t="s">
        <v>3193</v>
      </c>
      <c r="K43" t="s">
        <v>2683</v>
      </c>
    </row>
    <row r="44" spans="1:11" x14ac:dyDescent="0.25">
      <c r="A44" t="s">
        <v>2929</v>
      </c>
      <c r="B44" t="s">
        <v>2704</v>
      </c>
      <c r="C44" t="s">
        <v>2992</v>
      </c>
      <c r="D44" t="s">
        <v>2860</v>
      </c>
      <c r="E44" t="s">
        <v>3048</v>
      </c>
      <c r="F44" t="s">
        <v>2731</v>
      </c>
      <c r="G44" t="s">
        <v>3106</v>
      </c>
      <c r="H44" t="s">
        <v>2714</v>
      </c>
      <c r="I44" t="s">
        <v>3170</v>
      </c>
      <c r="J44" t="s">
        <v>3194</v>
      </c>
      <c r="K44" t="s">
        <v>3228</v>
      </c>
    </row>
    <row r="45" spans="1:11" x14ac:dyDescent="0.25">
      <c r="A45" t="s">
        <v>2819</v>
      </c>
      <c r="B45" t="s">
        <v>2956</v>
      </c>
      <c r="C45" t="s">
        <v>2713</v>
      </c>
      <c r="D45" t="s">
        <v>1971</v>
      </c>
      <c r="E45" t="s">
        <v>3049</v>
      </c>
      <c r="F45" t="s">
        <v>3073</v>
      </c>
      <c r="G45" t="s">
        <v>2837</v>
      </c>
      <c r="H45" t="s">
        <v>3136</v>
      </c>
      <c r="I45" t="s">
        <v>3171</v>
      </c>
      <c r="J45" t="s">
        <v>2811</v>
      </c>
      <c r="K45" t="s">
        <v>3229</v>
      </c>
    </row>
    <row r="46" spans="1:11" x14ac:dyDescent="0.25">
      <c r="A46" t="s">
        <v>2930</v>
      </c>
      <c r="B46" t="s">
        <v>2957</v>
      </c>
      <c r="C46" t="s">
        <v>2822</v>
      </c>
      <c r="D46" t="s">
        <v>3012</v>
      </c>
      <c r="E46" t="s">
        <v>3050</v>
      </c>
      <c r="F46" t="s">
        <v>3074</v>
      </c>
      <c r="G46" t="s">
        <v>2872</v>
      </c>
      <c r="H46" t="s">
        <v>717</v>
      </c>
      <c r="I46" t="s">
        <v>1460</v>
      </c>
      <c r="J46" t="s">
        <v>3195</v>
      </c>
      <c r="K46" t="s">
        <v>1286</v>
      </c>
    </row>
    <row r="47" spans="1:11" x14ac:dyDescent="0.25">
      <c r="A47" t="s">
        <v>2770</v>
      </c>
      <c r="B47" t="s">
        <v>2958</v>
      </c>
      <c r="C47" t="s">
        <v>1306</v>
      </c>
      <c r="D47" t="s">
        <v>3013</v>
      </c>
      <c r="E47" t="s">
        <v>3051</v>
      </c>
      <c r="F47" t="s">
        <v>3075</v>
      </c>
      <c r="G47" t="s">
        <v>1131</v>
      </c>
      <c r="H47" t="s">
        <v>3137</v>
      </c>
      <c r="I47" t="s">
        <v>3172</v>
      </c>
      <c r="J47" t="s">
        <v>2880</v>
      </c>
      <c r="K47" t="s">
        <v>3231</v>
      </c>
    </row>
    <row r="48" spans="1:11" x14ac:dyDescent="0.25">
      <c r="A48" t="s">
        <v>2771</v>
      </c>
      <c r="B48" t="s">
        <v>2959</v>
      </c>
      <c r="C48" t="s">
        <v>2823</v>
      </c>
      <c r="D48" t="s">
        <v>3014</v>
      </c>
      <c r="E48" t="s">
        <v>2676</v>
      </c>
      <c r="F48" t="s">
        <v>3076</v>
      </c>
      <c r="G48" t="s">
        <v>3107</v>
      </c>
      <c r="H48" t="s">
        <v>3138</v>
      </c>
      <c r="I48" t="s">
        <v>2799</v>
      </c>
      <c r="J48" t="s">
        <v>3196</v>
      </c>
      <c r="K48" t="s">
        <v>2816</v>
      </c>
    </row>
    <row r="49" spans="1:11" x14ac:dyDescent="0.25">
      <c r="A49" t="s">
        <v>1072</v>
      </c>
      <c r="B49" t="s">
        <v>2960</v>
      </c>
      <c r="C49" t="s">
        <v>2824</v>
      </c>
      <c r="D49" t="s">
        <v>3015</v>
      </c>
      <c r="E49" t="s">
        <v>3052</v>
      </c>
      <c r="F49" t="s">
        <v>2784</v>
      </c>
      <c r="G49" t="s">
        <v>3108</v>
      </c>
      <c r="H49" t="s">
        <v>3139</v>
      </c>
      <c r="I49" t="s">
        <v>3173</v>
      </c>
      <c r="J49" t="s">
        <v>3197</v>
      </c>
      <c r="K49" t="s">
        <v>3232</v>
      </c>
    </row>
    <row r="50" spans="1:11" x14ac:dyDescent="0.25">
      <c r="A50" s="230" t="s">
        <v>2700</v>
      </c>
      <c r="B50" s="230" t="s">
        <v>2961</v>
      </c>
      <c r="C50" s="230" t="s">
        <v>2825</v>
      </c>
      <c r="D50" s="230" t="s">
        <v>3016</v>
      </c>
      <c r="E50" s="230" t="s">
        <v>3053</v>
      </c>
      <c r="F50" s="230" t="s">
        <v>2767</v>
      </c>
      <c r="G50" s="230" t="s">
        <v>2873</v>
      </c>
      <c r="H50" s="230" t="s">
        <v>3140</v>
      </c>
      <c r="I50" s="230" t="s">
        <v>3174</v>
      </c>
      <c r="J50" s="230" t="s">
        <v>3198</v>
      </c>
      <c r="K50" s="230" t="s">
        <v>2886</v>
      </c>
    </row>
    <row r="51" spans="1:11" ht="15.75" thickBot="1" x14ac:dyDescent="0.3">
      <c r="A51" s="233" t="s">
        <v>2931</v>
      </c>
      <c r="B51" s="233" t="s">
        <v>2962</v>
      </c>
      <c r="C51" s="233" t="s">
        <v>2993</v>
      </c>
      <c r="D51" s="233" t="s">
        <v>3017</v>
      </c>
      <c r="E51" s="233" t="s">
        <v>2893</v>
      </c>
      <c r="F51" s="233" t="s">
        <v>3077</v>
      </c>
      <c r="G51" s="233" t="s">
        <v>2789</v>
      </c>
      <c r="H51" s="233" t="s">
        <v>3141</v>
      </c>
      <c r="I51" s="233" t="s">
        <v>974</v>
      </c>
      <c r="J51" s="233" t="s">
        <v>3199</v>
      </c>
      <c r="K51" s="233" t="s">
        <v>3233</v>
      </c>
    </row>
    <row r="52" spans="1:11" ht="15.75" thickTop="1" x14ac:dyDescent="0.25"/>
    <row r="58" spans="1:11" x14ac:dyDescent="0.25">
      <c r="J58" s="232"/>
    </row>
    <row r="59" spans="1:11" x14ac:dyDescent="0.25">
      <c r="J59" s="232"/>
    </row>
    <row r="60" spans="1:11" x14ac:dyDescent="0.25">
      <c r="J60" s="232"/>
    </row>
  </sheetData>
  <sortState ref="A1:A565">
    <sortCondition ref="A1:A565"/>
  </sortState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535"/>
  <sheetViews>
    <sheetView tabSelected="1" topLeftCell="F3" zoomScale="70" zoomScaleNormal="70" workbookViewId="0">
      <pane ySplit="1425" activePane="bottomLeft"/>
      <selection activeCell="Q3" sqref="O1:R1048576"/>
      <selection pane="bottomLeft" activeCell="R2" sqref="R2"/>
    </sheetView>
  </sheetViews>
  <sheetFormatPr defaultColWidth="8.85546875" defaultRowHeight="15" x14ac:dyDescent="0.25"/>
  <cols>
    <col min="1" max="1" width="5.140625" style="400" customWidth="1"/>
    <col min="2" max="2" width="22.28515625" style="230" customWidth="1"/>
    <col min="3" max="3" width="8.85546875" style="230"/>
    <col min="4" max="4" width="13.85546875" style="230" bestFit="1" customWidth="1"/>
    <col min="5" max="6" width="8.85546875" style="230"/>
    <col min="7" max="7" width="10.42578125" style="399" customWidth="1"/>
    <col min="8" max="8" width="27.85546875" style="230" bestFit="1" customWidth="1"/>
    <col min="9" max="9" width="28.140625" style="329" customWidth="1"/>
    <col min="10" max="10" width="26.42578125" style="230" customWidth="1"/>
    <col min="11" max="11" width="16.42578125" style="230" bestFit="1" customWidth="1"/>
    <col min="12" max="12" width="11" style="230" bestFit="1" customWidth="1"/>
    <col min="13" max="13" width="20" style="230" bestFit="1" customWidth="1"/>
    <col min="14" max="18" width="28.140625" style="341" customWidth="1"/>
    <col min="19" max="19" width="28.140625" style="398" customWidth="1"/>
    <col min="20" max="20" width="31.42578125" style="399" bestFit="1" customWidth="1"/>
    <col min="21" max="21" width="8.85546875" style="230"/>
    <col min="22" max="22" width="16" style="230" bestFit="1" customWidth="1"/>
    <col min="23" max="23" width="37" style="230" customWidth="1"/>
    <col min="24" max="24" width="37.85546875" style="230" customWidth="1"/>
    <col min="25" max="28" width="16.28515625" style="230" customWidth="1"/>
    <col min="29" max="96" width="9.140625" style="227"/>
    <col min="97" max="16384" width="8.85546875" style="230"/>
  </cols>
  <sheetData>
    <row r="1" spans="1:96" s="384" customFormat="1" ht="17.25" x14ac:dyDescent="0.25">
      <c r="A1" s="364" t="s">
        <v>4145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6"/>
      <c r="O1" s="366"/>
      <c r="P1" s="366"/>
      <c r="Q1" s="366"/>
      <c r="R1" s="366"/>
      <c r="S1" s="366"/>
      <c r="T1" s="364"/>
      <c r="U1" s="364"/>
      <c r="V1" s="364"/>
      <c r="W1" s="364"/>
      <c r="X1" s="364"/>
      <c r="Y1" s="364"/>
      <c r="Z1" s="364"/>
      <c r="AA1" s="364"/>
      <c r="AB1" s="364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3"/>
      <c r="AO1" s="383"/>
      <c r="AP1" s="383"/>
      <c r="AQ1" s="383"/>
      <c r="AR1" s="383"/>
      <c r="AS1" s="383"/>
      <c r="AT1" s="383"/>
      <c r="AU1" s="383"/>
      <c r="AV1" s="383"/>
      <c r="AW1" s="383"/>
      <c r="AX1" s="383"/>
      <c r="AY1" s="383"/>
      <c r="AZ1" s="383"/>
      <c r="BA1" s="383"/>
      <c r="BB1" s="383"/>
      <c r="BC1" s="383"/>
      <c r="BD1" s="383"/>
      <c r="BE1" s="383"/>
      <c r="BF1" s="383"/>
      <c r="BG1" s="383"/>
      <c r="BH1" s="383"/>
      <c r="BI1" s="383"/>
      <c r="BJ1" s="383"/>
      <c r="BK1" s="383"/>
      <c r="BL1" s="383"/>
      <c r="BM1" s="383"/>
      <c r="BN1" s="383"/>
      <c r="BO1" s="383"/>
      <c r="BP1" s="383"/>
      <c r="BQ1" s="383"/>
      <c r="BR1" s="383"/>
      <c r="BS1" s="383"/>
      <c r="BT1" s="383"/>
      <c r="BU1" s="383"/>
      <c r="BV1" s="383"/>
      <c r="BW1" s="383"/>
      <c r="BX1" s="383"/>
      <c r="BY1" s="383"/>
      <c r="BZ1" s="383"/>
      <c r="CA1" s="383"/>
      <c r="CB1" s="383"/>
      <c r="CC1" s="383"/>
      <c r="CD1" s="383"/>
      <c r="CE1" s="383"/>
      <c r="CF1" s="383"/>
      <c r="CG1" s="383"/>
      <c r="CH1" s="383"/>
      <c r="CI1" s="383"/>
      <c r="CJ1" s="383"/>
      <c r="CK1" s="383"/>
      <c r="CL1" s="383"/>
      <c r="CM1" s="383"/>
      <c r="CN1" s="383"/>
      <c r="CO1" s="383"/>
      <c r="CP1" s="383"/>
      <c r="CQ1" s="383"/>
      <c r="CR1" s="383"/>
    </row>
    <row r="2" spans="1:96" s="407" customFormat="1" ht="35.25" customHeight="1" thickBot="1" x14ac:dyDescent="0.3">
      <c r="A2" s="401" t="s">
        <v>0</v>
      </c>
      <c r="B2" s="401"/>
      <c r="C2" s="401" t="s">
        <v>1</v>
      </c>
      <c r="D2" s="402" t="s">
        <v>2</v>
      </c>
      <c r="E2" s="401" t="s">
        <v>3</v>
      </c>
      <c r="F2" s="401" t="s">
        <v>4</v>
      </c>
      <c r="G2" s="404" t="s">
        <v>5</v>
      </c>
      <c r="H2" s="403" t="s">
        <v>6</v>
      </c>
      <c r="I2" s="403" t="s">
        <v>7</v>
      </c>
      <c r="J2" s="403" t="s">
        <v>8</v>
      </c>
      <c r="K2" s="404" t="s">
        <v>13</v>
      </c>
      <c r="L2" s="403" t="s">
        <v>14</v>
      </c>
      <c r="M2" s="403" t="s">
        <v>15</v>
      </c>
      <c r="N2" s="405" t="s">
        <v>4179</v>
      </c>
      <c r="O2" s="405" t="s">
        <v>16</v>
      </c>
      <c r="P2" s="405" t="s">
        <v>17</v>
      </c>
      <c r="Q2" s="405" t="s">
        <v>4175</v>
      </c>
      <c r="R2" s="405" t="s">
        <v>4176</v>
      </c>
      <c r="S2" s="401"/>
      <c r="T2" s="404" t="s">
        <v>18</v>
      </c>
      <c r="U2" s="403"/>
      <c r="V2" s="403" t="s">
        <v>19</v>
      </c>
      <c r="W2" s="403" t="s">
        <v>20</v>
      </c>
      <c r="X2" s="403" t="s">
        <v>21</v>
      </c>
      <c r="Y2" s="401" t="s">
        <v>9</v>
      </c>
      <c r="Z2" s="401" t="s">
        <v>10</v>
      </c>
      <c r="AA2" s="401" t="s">
        <v>11</v>
      </c>
      <c r="AB2" s="401" t="s">
        <v>12</v>
      </c>
      <c r="AC2" s="406"/>
      <c r="AD2" s="406"/>
      <c r="AE2" s="406"/>
      <c r="AF2" s="406"/>
      <c r="AG2" s="406"/>
      <c r="AH2" s="406"/>
      <c r="AI2" s="406"/>
      <c r="AJ2" s="406"/>
      <c r="AK2" s="406"/>
      <c r="AL2" s="406"/>
      <c r="AM2" s="406"/>
      <c r="AN2" s="406"/>
      <c r="AO2" s="406"/>
      <c r="AP2" s="406"/>
      <c r="AQ2" s="406"/>
      <c r="AR2" s="406"/>
      <c r="AS2" s="406"/>
      <c r="AT2" s="406"/>
      <c r="AU2" s="406"/>
      <c r="AV2" s="406"/>
      <c r="AW2" s="406"/>
      <c r="AX2" s="406"/>
      <c r="AY2" s="406"/>
      <c r="AZ2" s="406"/>
      <c r="BA2" s="406"/>
      <c r="BB2" s="406"/>
      <c r="BC2" s="406"/>
      <c r="BD2" s="406"/>
      <c r="BE2" s="406"/>
      <c r="BF2" s="406"/>
      <c r="BG2" s="406"/>
      <c r="BH2" s="406"/>
      <c r="BI2" s="406"/>
      <c r="BJ2" s="406"/>
      <c r="BK2" s="406"/>
      <c r="BL2" s="406"/>
      <c r="BM2" s="406"/>
      <c r="BN2" s="406"/>
      <c r="BO2" s="406"/>
      <c r="BP2" s="406"/>
      <c r="BQ2" s="406"/>
      <c r="BR2" s="406"/>
      <c r="BS2" s="406"/>
      <c r="BT2" s="406"/>
      <c r="BU2" s="406"/>
      <c r="BV2" s="406"/>
      <c r="BW2" s="406"/>
      <c r="BX2" s="406"/>
      <c r="BY2" s="406"/>
      <c r="BZ2" s="406"/>
      <c r="CA2" s="406"/>
      <c r="CB2" s="406"/>
      <c r="CC2" s="406"/>
      <c r="CD2" s="406"/>
      <c r="CE2" s="406"/>
      <c r="CF2" s="406"/>
      <c r="CG2" s="406"/>
      <c r="CH2" s="406"/>
      <c r="CI2" s="406"/>
      <c r="CJ2" s="406"/>
      <c r="CK2" s="406"/>
      <c r="CL2" s="406"/>
      <c r="CM2" s="406"/>
      <c r="CN2" s="406"/>
      <c r="CO2" s="406"/>
      <c r="CP2" s="406"/>
      <c r="CQ2" s="406"/>
      <c r="CR2" s="406"/>
    </row>
    <row r="3" spans="1:96" ht="105.75" thickTop="1" x14ac:dyDescent="0.25">
      <c r="A3" s="460" t="s">
        <v>4146</v>
      </c>
      <c r="B3" s="1" t="s">
        <v>22</v>
      </c>
      <c r="C3" s="2">
        <v>2</v>
      </c>
      <c r="D3" s="3">
        <v>71892323</v>
      </c>
      <c r="E3" s="2" t="s">
        <v>23</v>
      </c>
      <c r="F3" s="2" t="s">
        <v>24</v>
      </c>
      <c r="G3" s="7" t="s">
        <v>25</v>
      </c>
      <c r="H3" s="1" t="s">
        <v>26</v>
      </c>
      <c r="I3" s="4" t="s">
        <v>27</v>
      </c>
      <c r="J3" s="5" t="s">
        <v>28</v>
      </c>
      <c r="K3" s="7" t="s">
        <v>29</v>
      </c>
      <c r="L3" s="1" t="s">
        <v>30</v>
      </c>
      <c r="M3" s="1" t="s">
        <v>31</v>
      </c>
      <c r="N3" s="385">
        <v>758206608</v>
      </c>
      <c r="O3" s="385"/>
      <c r="P3" s="385"/>
      <c r="Q3" s="385" t="s">
        <v>4180</v>
      </c>
      <c r="R3" s="385" t="s">
        <v>4180</v>
      </c>
      <c r="S3" s="2"/>
      <c r="T3" s="7"/>
      <c r="U3" s="1"/>
      <c r="V3" s="1" t="s">
        <v>32</v>
      </c>
      <c r="W3" s="1" t="s">
        <v>33</v>
      </c>
      <c r="X3" s="1" t="s">
        <v>34</v>
      </c>
      <c r="Y3" s="2">
        <v>69</v>
      </c>
      <c r="Z3" s="6">
        <v>30.43</v>
      </c>
      <c r="AA3" s="2">
        <v>120</v>
      </c>
      <c r="AB3" s="6">
        <v>0</v>
      </c>
    </row>
    <row r="4" spans="1:96" x14ac:dyDescent="0.25">
      <c r="A4" s="460"/>
      <c r="B4" s="1" t="s">
        <v>22</v>
      </c>
      <c r="C4" s="2">
        <v>2</v>
      </c>
      <c r="D4" s="3">
        <v>133541325</v>
      </c>
      <c r="E4" s="2" t="s">
        <v>23</v>
      </c>
      <c r="F4" s="2" t="s">
        <v>35</v>
      </c>
      <c r="G4" s="7" t="s">
        <v>25</v>
      </c>
      <c r="H4" s="1" t="s">
        <v>36</v>
      </c>
      <c r="I4" s="4" t="s">
        <v>37</v>
      </c>
      <c r="J4" s="5" t="s">
        <v>38</v>
      </c>
      <c r="K4" s="7" t="s">
        <v>29</v>
      </c>
      <c r="L4" s="1" t="s">
        <v>39</v>
      </c>
      <c r="M4" s="1" t="s">
        <v>31</v>
      </c>
      <c r="N4" s="385"/>
      <c r="O4" s="385"/>
      <c r="P4" s="385"/>
      <c r="Q4" s="385"/>
      <c r="R4" s="385"/>
      <c r="S4" s="2"/>
      <c r="T4" s="7"/>
      <c r="U4" s="1"/>
      <c r="V4" s="1" t="s">
        <v>40</v>
      </c>
      <c r="W4" s="1" t="s">
        <v>41</v>
      </c>
      <c r="X4" s="1" t="s">
        <v>42</v>
      </c>
      <c r="Y4" s="2">
        <v>51</v>
      </c>
      <c r="Z4" s="6">
        <v>31.37</v>
      </c>
      <c r="AA4" s="2">
        <v>71</v>
      </c>
      <c r="AB4" s="6">
        <v>0</v>
      </c>
    </row>
    <row r="5" spans="1:96" x14ac:dyDescent="0.25">
      <c r="A5" s="460"/>
      <c r="B5" s="1" t="s">
        <v>22</v>
      </c>
      <c r="C5" s="2">
        <v>2</v>
      </c>
      <c r="D5" s="3">
        <v>208632050</v>
      </c>
      <c r="E5" s="2" t="s">
        <v>43</v>
      </c>
      <c r="F5" s="2" t="s">
        <v>24</v>
      </c>
      <c r="G5" s="7" t="s">
        <v>25</v>
      </c>
      <c r="H5" s="1" t="s">
        <v>26</v>
      </c>
      <c r="I5" s="4" t="s">
        <v>44</v>
      </c>
      <c r="J5" s="5" t="s">
        <v>45</v>
      </c>
      <c r="K5" s="7" t="s">
        <v>29</v>
      </c>
      <c r="L5" s="1" t="s">
        <v>30</v>
      </c>
      <c r="M5" s="1" t="s">
        <v>31</v>
      </c>
      <c r="N5" s="385"/>
      <c r="O5" s="385"/>
      <c r="P5" s="385"/>
      <c r="Q5" s="385"/>
      <c r="R5" s="385"/>
      <c r="S5" s="2"/>
      <c r="T5" s="7"/>
      <c r="U5" s="1"/>
      <c r="V5" s="1" t="s">
        <v>46</v>
      </c>
      <c r="W5" s="1" t="s">
        <v>47</v>
      </c>
      <c r="X5" s="1" t="s">
        <v>48</v>
      </c>
      <c r="Y5" s="2">
        <v>81</v>
      </c>
      <c r="Z5" s="6">
        <v>16.05</v>
      </c>
      <c r="AA5" s="2">
        <v>86</v>
      </c>
      <c r="AB5" s="6">
        <v>0</v>
      </c>
    </row>
    <row r="6" spans="1:96" x14ac:dyDescent="0.25">
      <c r="A6" s="460"/>
      <c r="B6" s="1" t="s">
        <v>22</v>
      </c>
      <c r="C6" s="2">
        <v>3</v>
      </c>
      <c r="D6" s="3">
        <v>100963103</v>
      </c>
      <c r="E6" s="2" t="s">
        <v>43</v>
      </c>
      <c r="F6" s="2" t="s">
        <v>24</v>
      </c>
      <c r="G6" s="7" t="s">
        <v>25</v>
      </c>
      <c r="H6" s="1" t="s">
        <v>26</v>
      </c>
      <c r="I6" s="4" t="s">
        <v>49</v>
      </c>
      <c r="J6" s="5" t="s">
        <v>50</v>
      </c>
      <c r="K6" s="7" t="s">
        <v>29</v>
      </c>
      <c r="L6" s="1" t="s">
        <v>39</v>
      </c>
      <c r="M6" s="1" t="s">
        <v>51</v>
      </c>
      <c r="N6" s="385"/>
      <c r="O6" s="385"/>
      <c r="P6" s="385"/>
      <c r="Q6" s="385"/>
      <c r="R6" s="385"/>
      <c r="S6" s="2"/>
      <c r="T6" s="7"/>
      <c r="U6" s="1"/>
      <c r="V6" s="1" t="s">
        <v>52</v>
      </c>
      <c r="W6" s="1" t="s">
        <v>53</v>
      </c>
      <c r="X6" s="1" t="s">
        <v>54</v>
      </c>
      <c r="Y6" s="2">
        <v>80</v>
      </c>
      <c r="Z6" s="6">
        <v>16.25</v>
      </c>
      <c r="AA6" s="2">
        <v>89</v>
      </c>
      <c r="AB6" s="6">
        <v>0</v>
      </c>
    </row>
    <row r="7" spans="1:96" x14ac:dyDescent="0.25">
      <c r="A7" s="460"/>
      <c r="B7" s="1" t="s">
        <v>22</v>
      </c>
      <c r="C7" s="2">
        <v>6</v>
      </c>
      <c r="D7" s="3">
        <v>107009245</v>
      </c>
      <c r="E7" s="2" t="s">
        <v>35</v>
      </c>
      <c r="F7" s="2" t="s">
        <v>24</v>
      </c>
      <c r="G7" s="7" t="s">
        <v>25</v>
      </c>
      <c r="H7" s="1" t="s">
        <v>26</v>
      </c>
      <c r="I7" s="4" t="s">
        <v>4177</v>
      </c>
      <c r="J7" s="5" t="s">
        <v>55</v>
      </c>
      <c r="K7" s="7" t="s">
        <v>29</v>
      </c>
      <c r="L7" s="1" t="s">
        <v>30</v>
      </c>
      <c r="M7" s="1" t="s">
        <v>56</v>
      </c>
      <c r="N7" s="385">
        <v>1466814906</v>
      </c>
      <c r="O7" s="385"/>
      <c r="P7" s="385"/>
      <c r="Q7" s="385"/>
      <c r="R7" s="385"/>
      <c r="S7" s="2"/>
      <c r="T7" s="7"/>
      <c r="U7" s="1"/>
      <c r="V7" s="1" t="s">
        <v>57</v>
      </c>
      <c r="W7" s="1" t="s">
        <v>58</v>
      </c>
      <c r="X7" s="1" t="s">
        <v>59</v>
      </c>
      <c r="Y7" s="2">
        <v>75</v>
      </c>
      <c r="Z7" s="6">
        <v>13.33</v>
      </c>
      <c r="AA7" s="2">
        <v>99</v>
      </c>
      <c r="AB7" s="6">
        <v>0</v>
      </c>
    </row>
    <row r="8" spans="1:96" x14ac:dyDescent="0.25">
      <c r="A8" s="460"/>
      <c r="B8" s="1" t="s">
        <v>22</v>
      </c>
      <c r="C8" s="2">
        <v>6</v>
      </c>
      <c r="D8" s="3">
        <v>134350764</v>
      </c>
      <c r="E8" s="2" t="s">
        <v>60</v>
      </c>
      <c r="F8" s="2"/>
      <c r="G8" s="7" t="s">
        <v>61</v>
      </c>
      <c r="H8" s="1" t="s">
        <v>26</v>
      </c>
      <c r="I8" s="4" t="s">
        <v>62</v>
      </c>
      <c r="J8" s="5" t="s">
        <v>63</v>
      </c>
      <c r="K8" s="7" t="s">
        <v>64</v>
      </c>
      <c r="L8" s="1"/>
      <c r="M8" s="1"/>
      <c r="N8" s="385"/>
      <c r="O8" s="385"/>
      <c r="P8" s="385"/>
      <c r="Q8" s="385"/>
      <c r="R8" s="385"/>
      <c r="S8" s="2"/>
      <c r="T8" s="7"/>
      <c r="U8" s="1"/>
      <c r="V8" s="1" t="s">
        <v>65</v>
      </c>
      <c r="W8" s="1" t="s">
        <v>66</v>
      </c>
      <c r="X8" s="1" t="s">
        <v>67</v>
      </c>
      <c r="Y8" s="2">
        <v>79</v>
      </c>
      <c r="Z8" s="6">
        <v>17.72</v>
      </c>
      <c r="AA8" s="2">
        <v>70</v>
      </c>
      <c r="AB8" s="6">
        <v>0</v>
      </c>
    </row>
    <row r="9" spans="1:96" x14ac:dyDescent="0.25">
      <c r="A9" s="460"/>
      <c r="B9" s="1" t="s">
        <v>22</v>
      </c>
      <c r="C9" s="2">
        <v>6</v>
      </c>
      <c r="D9" s="3">
        <v>147830427</v>
      </c>
      <c r="E9" s="2" t="s">
        <v>43</v>
      </c>
      <c r="F9" s="2" t="s">
        <v>24</v>
      </c>
      <c r="G9" s="7" t="s">
        <v>25</v>
      </c>
      <c r="H9" s="1" t="s">
        <v>26</v>
      </c>
      <c r="I9" s="4" t="s">
        <v>68</v>
      </c>
      <c r="J9" s="5" t="s">
        <v>69</v>
      </c>
      <c r="K9" s="7" t="s">
        <v>29</v>
      </c>
      <c r="L9" s="1" t="s">
        <v>39</v>
      </c>
      <c r="M9" s="1" t="s">
        <v>51</v>
      </c>
      <c r="N9" s="385">
        <v>1458331322</v>
      </c>
      <c r="O9" s="385"/>
      <c r="P9" s="385"/>
      <c r="Q9" s="385"/>
      <c r="R9" s="385" t="s">
        <v>4181</v>
      </c>
      <c r="S9" s="2"/>
      <c r="T9" s="7"/>
      <c r="U9" s="1"/>
      <c r="V9" s="1" t="s">
        <v>70</v>
      </c>
      <c r="W9" s="1" t="s">
        <v>71</v>
      </c>
      <c r="X9" s="1" t="s">
        <v>72</v>
      </c>
      <c r="Y9" s="2">
        <v>84</v>
      </c>
      <c r="Z9" s="6">
        <v>13.1</v>
      </c>
      <c r="AA9" s="2">
        <v>76</v>
      </c>
      <c r="AB9" s="6">
        <v>0</v>
      </c>
    </row>
    <row r="10" spans="1:96" x14ac:dyDescent="0.25">
      <c r="A10" s="460"/>
      <c r="B10" s="1" t="s">
        <v>22</v>
      </c>
      <c r="C10" s="2">
        <v>8</v>
      </c>
      <c r="D10" s="3">
        <v>36790535</v>
      </c>
      <c r="E10" s="2" t="s">
        <v>35</v>
      </c>
      <c r="F10" s="2" t="s">
        <v>43</v>
      </c>
      <c r="G10" s="7" t="s">
        <v>25</v>
      </c>
      <c r="H10" s="1" t="s">
        <v>73</v>
      </c>
      <c r="I10" s="4" t="s">
        <v>74</v>
      </c>
      <c r="J10" s="5" t="s">
        <v>75</v>
      </c>
      <c r="K10" s="7" t="s">
        <v>29</v>
      </c>
      <c r="L10" s="1" t="s">
        <v>39</v>
      </c>
      <c r="M10" s="1" t="s">
        <v>51</v>
      </c>
      <c r="N10" s="385"/>
      <c r="O10" s="385"/>
      <c r="P10" s="385"/>
      <c r="Q10" s="385"/>
      <c r="R10" s="385"/>
      <c r="S10" s="2"/>
      <c r="T10" s="7"/>
      <c r="U10" s="1"/>
      <c r="V10" s="1" t="s">
        <v>76</v>
      </c>
      <c r="W10" s="1" t="s">
        <v>77</v>
      </c>
      <c r="X10" s="1" t="s">
        <v>78</v>
      </c>
      <c r="Y10" s="2">
        <v>72</v>
      </c>
      <c r="Z10" s="6">
        <v>19.440000000000001</v>
      </c>
      <c r="AA10" s="2">
        <v>78</v>
      </c>
      <c r="AB10" s="6">
        <v>0</v>
      </c>
    </row>
    <row r="11" spans="1:96" x14ac:dyDescent="0.25">
      <c r="A11" s="460"/>
      <c r="B11" s="1" t="s">
        <v>22</v>
      </c>
      <c r="C11" s="2">
        <v>10</v>
      </c>
      <c r="D11" s="3">
        <v>108459081</v>
      </c>
      <c r="E11" s="2" t="s">
        <v>43</v>
      </c>
      <c r="F11" s="2"/>
      <c r="G11" s="7" t="s">
        <v>61</v>
      </c>
      <c r="H11" s="1" t="s">
        <v>26</v>
      </c>
      <c r="I11" s="4" t="s">
        <v>79</v>
      </c>
      <c r="J11" s="5" t="s">
        <v>80</v>
      </c>
      <c r="K11" s="7" t="s">
        <v>81</v>
      </c>
      <c r="L11" s="1"/>
      <c r="M11" s="1"/>
      <c r="N11" s="385"/>
      <c r="O11" s="385"/>
      <c r="P11" s="385"/>
      <c r="Q11" s="385"/>
      <c r="R11" s="385"/>
      <c r="S11" s="2"/>
      <c r="T11" s="7"/>
      <c r="U11" s="1"/>
      <c r="V11" s="1" t="s">
        <v>82</v>
      </c>
      <c r="W11" s="1" t="s">
        <v>83</v>
      </c>
      <c r="X11" s="1" t="s">
        <v>84</v>
      </c>
      <c r="Y11" s="2">
        <v>70</v>
      </c>
      <c r="Z11" s="6">
        <v>15.71</v>
      </c>
      <c r="AA11" s="2">
        <v>44</v>
      </c>
      <c r="AB11" s="6">
        <v>0</v>
      </c>
    </row>
    <row r="12" spans="1:96" x14ac:dyDescent="0.25">
      <c r="A12" s="460"/>
      <c r="B12" s="1" t="s">
        <v>22</v>
      </c>
      <c r="C12" s="2">
        <v>11</v>
      </c>
      <c r="D12" s="3">
        <v>67187109</v>
      </c>
      <c r="E12" s="2" t="s">
        <v>23</v>
      </c>
      <c r="F12" s="2" t="s">
        <v>24</v>
      </c>
      <c r="G12" s="7" t="s">
        <v>25</v>
      </c>
      <c r="H12" s="1" t="s">
        <v>26</v>
      </c>
      <c r="I12" s="4" t="s">
        <v>85</v>
      </c>
      <c r="J12" s="5" t="s">
        <v>86</v>
      </c>
      <c r="K12" s="7" t="s">
        <v>29</v>
      </c>
      <c r="L12" s="1" t="s">
        <v>30</v>
      </c>
      <c r="M12" s="1" t="s">
        <v>56</v>
      </c>
      <c r="N12" s="385"/>
      <c r="O12" s="385"/>
      <c r="P12" s="385"/>
      <c r="Q12" s="385"/>
      <c r="R12" s="385"/>
      <c r="S12" s="2"/>
      <c r="T12" s="7"/>
      <c r="U12" s="1"/>
      <c r="V12" s="1" t="s">
        <v>87</v>
      </c>
      <c r="W12" s="1" t="s">
        <v>88</v>
      </c>
      <c r="X12" s="1" t="s">
        <v>89</v>
      </c>
      <c r="Y12" s="2">
        <v>99</v>
      </c>
      <c r="Z12" s="6">
        <v>10.1</v>
      </c>
      <c r="AA12" s="2">
        <v>167</v>
      </c>
      <c r="AB12" s="6">
        <v>0</v>
      </c>
    </row>
    <row r="13" spans="1:96" x14ac:dyDescent="0.25">
      <c r="A13" s="460"/>
      <c r="B13" s="1" t="s">
        <v>22</v>
      </c>
      <c r="C13" s="2">
        <v>12</v>
      </c>
      <c r="D13" s="3">
        <v>53722922</v>
      </c>
      <c r="E13" s="2" t="s">
        <v>43</v>
      </c>
      <c r="F13" s="2" t="s">
        <v>24</v>
      </c>
      <c r="G13" s="7" t="s">
        <v>25</v>
      </c>
      <c r="H13" s="1" t="s">
        <v>26</v>
      </c>
      <c r="I13" s="4" t="s">
        <v>90</v>
      </c>
      <c r="J13" s="5" t="s">
        <v>91</v>
      </c>
      <c r="K13" s="7" t="s">
        <v>29</v>
      </c>
      <c r="L13" s="1" t="s">
        <v>92</v>
      </c>
      <c r="M13" s="1" t="s">
        <v>51</v>
      </c>
      <c r="N13" s="385"/>
      <c r="O13" s="385"/>
      <c r="P13" s="385"/>
      <c r="Q13" s="385"/>
      <c r="R13" s="385"/>
      <c r="S13" s="2"/>
      <c r="T13" s="7"/>
      <c r="U13" s="1"/>
      <c r="V13" s="1" t="s">
        <v>93</v>
      </c>
      <c r="W13" s="1" t="s">
        <v>94</v>
      </c>
      <c r="X13" s="1" t="s">
        <v>95</v>
      </c>
      <c r="Y13" s="2">
        <v>100</v>
      </c>
      <c r="Z13" s="6">
        <v>11</v>
      </c>
      <c r="AA13" s="2">
        <v>89</v>
      </c>
      <c r="AB13" s="6">
        <v>0</v>
      </c>
    </row>
    <row r="14" spans="1:96" x14ac:dyDescent="0.25">
      <c r="A14" s="460"/>
      <c r="B14" s="1" t="s">
        <v>22</v>
      </c>
      <c r="C14" s="2">
        <v>15</v>
      </c>
      <c r="D14" s="3">
        <v>57731224</v>
      </c>
      <c r="E14" s="2" t="s">
        <v>23</v>
      </c>
      <c r="F14" s="2" t="s">
        <v>24</v>
      </c>
      <c r="G14" s="7" t="s">
        <v>25</v>
      </c>
      <c r="H14" s="1" t="s">
        <v>26</v>
      </c>
      <c r="I14" s="4" t="s">
        <v>96</v>
      </c>
      <c r="J14" s="5" t="s">
        <v>97</v>
      </c>
      <c r="K14" s="7" t="s">
        <v>29</v>
      </c>
      <c r="L14" s="1" t="s">
        <v>30</v>
      </c>
      <c r="M14" s="1" t="s">
        <v>56</v>
      </c>
      <c r="N14" s="385"/>
      <c r="O14" s="385"/>
      <c r="P14" s="385"/>
      <c r="Q14" s="385"/>
      <c r="R14" s="385"/>
      <c r="S14" s="2"/>
      <c r="T14" s="7">
        <v>279865</v>
      </c>
      <c r="U14" s="1"/>
      <c r="V14" s="1" t="s">
        <v>98</v>
      </c>
      <c r="W14" s="1" t="s">
        <v>99</v>
      </c>
      <c r="X14" s="1" t="s">
        <v>100</v>
      </c>
      <c r="Y14" s="2">
        <v>83</v>
      </c>
      <c r="Z14" s="6">
        <v>18.07</v>
      </c>
      <c r="AA14" s="2">
        <v>83</v>
      </c>
      <c r="AB14" s="6">
        <v>0</v>
      </c>
    </row>
    <row r="15" spans="1:96" x14ac:dyDescent="0.25">
      <c r="A15" s="460"/>
      <c r="B15" s="1" t="s">
        <v>22</v>
      </c>
      <c r="C15" s="2">
        <v>17</v>
      </c>
      <c r="D15" s="3">
        <v>7221123</v>
      </c>
      <c r="E15" s="2" t="s">
        <v>101</v>
      </c>
      <c r="F15" s="2"/>
      <c r="G15" s="7" t="s">
        <v>61</v>
      </c>
      <c r="H15" s="1" t="s">
        <v>26</v>
      </c>
      <c r="I15" s="4" t="s">
        <v>102</v>
      </c>
      <c r="J15" s="5" t="s">
        <v>103</v>
      </c>
      <c r="K15" s="7" t="s">
        <v>81</v>
      </c>
      <c r="L15" s="1"/>
      <c r="M15" s="1"/>
      <c r="N15" s="385"/>
      <c r="O15" s="385"/>
      <c r="P15" s="385"/>
      <c r="Q15" s="385"/>
      <c r="R15" s="385"/>
      <c r="S15" s="2"/>
      <c r="T15" s="7"/>
      <c r="U15" s="1"/>
      <c r="V15" s="1" t="s">
        <v>104</v>
      </c>
      <c r="W15" s="1" t="s">
        <v>105</v>
      </c>
      <c r="X15" s="1" t="s">
        <v>106</v>
      </c>
      <c r="Y15" s="2">
        <v>71</v>
      </c>
      <c r="Z15" s="6">
        <v>12.68</v>
      </c>
      <c r="AA15" s="2">
        <v>98</v>
      </c>
      <c r="AB15" s="6">
        <v>0</v>
      </c>
    </row>
    <row r="16" spans="1:96" x14ac:dyDescent="0.25">
      <c r="A16" s="460"/>
      <c r="B16" s="1" t="s">
        <v>22</v>
      </c>
      <c r="C16" s="2">
        <v>17</v>
      </c>
      <c r="D16" s="3">
        <v>42455807</v>
      </c>
      <c r="E16" s="2" t="s">
        <v>23</v>
      </c>
      <c r="F16" s="2" t="s">
        <v>35</v>
      </c>
      <c r="G16" s="7" t="s">
        <v>25</v>
      </c>
      <c r="H16" s="1" t="s">
        <v>26</v>
      </c>
      <c r="I16" s="4" t="s">
        <v>107</v>
      </c>
      <c r="J16" s="5" t="s">
        <v>108</v>
      </c>
      <c r="K16" s="7" t="s">
        <v>109</v>
      </c>
      <c r="L16" s="1"/>
      <c r="M16" s="1"/>
      <c r="N16" s="385"/>
      <c r="O16" s="385"/>
      <c r="P16" s="385"/>
      <c r="Q16" s="385"/>
      <c r="R16" s="385"/>
      <c r="S16" s="2"/>
      <c r="T16" s="7"/>
      <c r="U16" s="1"/>
      <c r="V16" s="1" t="s">
        <v>110</v>
      </c>
      <c r="W16" s="1" t="s">
        <v>111</v>
      </c>
      <c r="X16" s="1" t="s">
        <v>112</v>
      </c>
      <c r="Y16" s="2">
        <v>117</v>
      </c>
      <c r="Z16" s="6">
        <v>11.11</v>
      </c>
      <c r="AA16" s="2">
        <v>204</v>
      </c>
      <c r="AB16" s="6">
        <v>0</v>
      </c>
    </row>
    <row r="17" spans="1:28" x14ac:dyDescent="0.25">
      <c r="A17" s="460"/>
      <c r="B17" s="1" t="s">
        <v>22</v>
      </c>
      <c r="C17" s="2">
        <v>17</v>
      </c>
      <c r="D17" s="3">
        <v>67041431</v>
      </c>
      <c r="E17" s="2" t="s">
        <v>23</v>
      </c>
      <c r="F17" s="2" t="s">
        <v>35</v>
      </c>
      <c r="G17" s="7" t="s">
        <v>25</v>
      </c>
      <c r="H17" s="1" t="s">
        <v>26</v>
      </c>
      <c r="I17" s="4" t="s">
        <v>113</v>
      </c>
      <c r="J17" s="5" t="s">
        <v>114</v>
      </c>
      <c r="K17" s="7" t="s">
        <v>29</v>
      </c>
      <c r="L17" s="1" t="s">
        <v>39</v>
      </c>
      <c r="M17" s="1" t="s">
        <v>51</v>
      </c>
      <c r="N17" s="385">
        <v>1184372219</v>
      </c>
      <c r="O17" s="385"/>
      <c r="P17" s="385"/>
      <c r="Q17" s="385"/>
      <c r="R17" s="385"/>
      <c r="S17" s="2"/>
      <c r="T17" s="7"/>
      <c r="U17" s="1"/>
      <c r="V17" s="1" t="s">
        <v>115</v>
      </c>
      <c r="W17" s="1" t="s">
        <v>116</v>
      </c>
      <c r="X17" s="1" t="s">
        <v>117</v>
      </c>
      <c r="Y17" s="2">
        <v>125</v>
      </c>
      <c r="Z17" s="6">
        <v>11.2</v>
      </c>
      <c r="AA17" s="2">
        <v>196</v>
      </c>
      <c r="AB17" s="6">
        <v>0</v>
      </c>
    </row>
    <row r="18" spans="1:28" x14ac:dyDescent="0.25">
      <c r="A18" s="460"/>
      <c r="B18" s="1" t="s">
        <v>22</v>
      </c>
      <c r="C18" s="2">
        <v>19</v>
      </c>
      <c r="D18" s="3">
        <v>6686173</v>
      </c>
      <c r="E18" s="2" t="s">
        <v>23</v>
      </c>
      <c r="F18" s="2" t="s">
        <v>43</v>
      </c>
      <c r="G18" s="7" t="s">
        <v>25</v>
      </c>
      <c r="H18" s="1" t="s">
        <v>26</v>
      </c>
      <c r="I18" s="4" t="s">
        <v>118</v>
      </c>
      <c r="J18" s="5" t="s">
        <v>119</v>
      </c>
      <c r="K18" s="7" t="s">
        <v>29</v>
      </c>
      <c r="L18" s="1" t="s">
        <v>39</v>
      </c>
      <c r="M18" s="1" t="s">
        <v>31</v>
      </c>
      <c r="N18" s="385"/>
      <c r="O18" s="385"/>
      <c r="P18" s="385"/>
      <c r="Q18" s="385"/>
      <c r="R18" s="385"/>
      <c r="S18" s="2"/>
      <c r="T18" s="7"/>
      <c r="U18" s="1"/>
      <c r="V18" s="1" t="s">
        <v>120</v>
      </c>
      <c r="W18" s="1" t="s">
        <v>121</v>
      </c>
      <c r="X18" s="1" t="s">
        <v>122</v>
      </c>
      <c r="Y18" s="2">
        <v>63</v>
      </c>
      <c r="Z18" s="6">
        <v>22.22</v>
      </c>
      <c r="AA18" s="2">
        <v>59</v>
      </c>
      <c r="AB18" s="6">
        <v>0</v>
      </c>
    </row>
    <row r="19" spans="1:28" x14ac:dyDescent="0.25">
      <c r="A19" s="460"/>
      <c r="B19" s="1" t="s">
        <v>22</v>
      </c>
      <c r="C19" s="2">
        <v>19</v>
      </c>
      <c r="D19" s="3">
        <v>22363224</v>
      </c>
      <c r="E19" s="2" t="s">
        <v>23</v>
      </c>
      <c r="F19" s="2" t="s">
        <v>35</v>
      </c>
      <c r="G19" s="7" t="s">
        <v>25</v>
      </c>
      <c r="H19" s="1" t="s">
        <v>26</v>
      </c>
      <c r="I19" s="4" t="s">
        <v>123</v>
      </c>
      <c r="J19" s="5" t="s">
        <v>124</v>
      </c>
      <c r="K19" s="7" t="s">
        <v>29</v>
      </c>
      <c r="L19" s="1" t="s">
        <v>39</v>
      </c>
      <c r="M19" s="1" t="s">
        <v>51</v>
      </c>
      <c r="N19" s="385"/>
      <c r="O19" s="385"/>
      <c r="P19" s="385"/>
      <c r="Q19" s="385"/>
      <c r="R19" s="385"/>
      <c r="S19" s="2"/>
      <c r="T19" s="7"/>
      <c r="U19" s="1"/>
      <c r="V19" s="1" t="s">
        <v>125</v>
      </c>
      <c r="W19" s="1" t="s">
        <v>126</v>
      </c>
      <c r="X19" s="1" t="s">
        <v>127</v>
      </c>
      <c r="Y19" s="2">
        <v>88</v>
      </c>
      <c r="Z19" s="6">
        <v>12.5</v>
      </c>
      <c r="AA19" s="2">
        <v>76</v>
      </c>
      <c r="AB19" s="6">
        <v>0</v>
      </c>
    </row>
    <row r="20" spans="1:28" x14ac:dyDescent="0.25">
      <c r="A20" s="460"/>
      <c r="B20" s="1" t="s">
        <v>22</v>
      </c>
      <c r="C20" s="2">
        <v>19</v>
      </c>
      <c r="D20" s="3">
        <v>35501267</v>
      </c>
      <c r="E20" s="2" t="s">
        <v>43</v>
      </c>
      <c r="F20" s="2" t="s">
        <v>24</v>
      </c>
      <c r="G20" s="7" t="s">
        <v>25</v>
      </c>
      <c r="H20" s="1" t="s">
        <v>128</v>
      </c>
      <c r="I20" s="4" t="s">
        <v>129</v>
      </c>
      <c r="J20" s="5" t="s">
        <v>130</v>
      </c>
      <c r="K20" s="7" t="s">
        <v>29</v>
      </c>
      <c r="L20" s="1" t="s">
        <v>39</v>
      </c>
      <c r="M20" s="1" t="s">
        <v>51</v>
      </c>
      <c r="N20" s="385"/>
      <c r="O20" s="385"/>
      <c r="P20" s="385"/>
      <c r="Q20" s="385"/>
      <c r="R20" s="385"/>
      <c r="S20" s="2"/>
      <c r="T20" s="7"/>
      <c r="U20" s="1"/>
      <c r="V20" s="1" t="s">
        <v>131</v>
      </c>
      <c r="W20" s="1" t="s">
        <v>132</v>
      </c>
      <c r="X20" s="1" t="s">
        <v>133</v>
      </c>
      <c r="Y20" s="2">
        <v>64</v>
      </c>
      <c r="Z20" s="6">
        <v>17.190000000000001</v>
      </c>
      <c r="AA20" s="2">
        <v>77</v>
      </c>
      <c r="AB20" s="6">
        <v>0</v>
      </c>
    </row>
    <row r="21" spans="1:28" ht="30" x14ac:dyDescent="0.25">
      <c r="A21" s="460"/>
      <c r="B21" s="1" t="s">
        <v>22</v>
      </c>
      <c r="C21" s="2">
        <v>20</v>
      </c>
      <c r="D21" s="3">
        <v>17475474</v>
      </c>
      <c r="E21" s="2" t="s">
        <v>23</v>
      </c>
      <c r="F21" s="2" t="s">
        <v>24</v>
      </c>
      <c r="G21" s="7" t="s">
        <v>25</v>
      </c>
      <c r="H21" s="1" t="s">
        <v>26</v>
      </c>
      <c r="I21" s="4" t="s">
        <v>134</v>
      </c>
      <c r="J21" s="5" t="s">
        <v>135</v>
      </c>
      <c r="K21" s="7" t="s">
        <v>29</v>
      </c>
      <c r="L21" s="1" t="s">
        <v>39</v>
      </c>
      <c r="M21" s="1" t="s">
        <v>51</v>
      </c>
      <c r="N21" s="385">
        <v>1323403306</v>
      </c>
      <c r="O21" s="385"/>
      <c r="P21" s="385"/>
      <c r="Q21" s="385"/>
      <c r="R21" s="385"/>
      <c r="S21" s="2"/>
      <c r="T21" s="7"/>
      <c r="U21" s="1"/>
      <c r="V21" s="1" t="s">
        <v>136</v>
      </c>
      <c r="W21" s="1" t="s">
        <v>137</v>
      </c>
      <c r="X21" s="1" t="s">
        <v>138</v>
      </c>
      <c r="Y21" s="2">
        <v>87</v>
      </c>
      <c r="Z21" s="6">
        <v>14.94</v>
      </c>
      <c r="AA21" s="2">
        <v>100</v>
      </c>
      <c r="AB21" s="6">
        <v>0</v>
      </c>
    </row>
    <row r="22" spans="1:28" x14ac:dyDescent="0.25">
      <c r="A22" s="460"/>
      <c r="B22" s="1" t="s">
        <v>22</v>
      </c>
      <c r="C22" s="2">
        <v>20</v>
      </c>
      <c r="D22" s="3">
        <v>35421785</v>
      </c>
      <c r="E22" s="2" t="s">
        <v>23</v>
      </c>
      <c r="F22" s="2" t="s">
        <v>35</v>
      </c>
      <c r="G22" s="7" t="s">
        <v>25</v>
      </c>
      <c r="H22" s="1" t="s">
        <v>36</v>
      </c>
      <c r="I22" s="4" t="s">
        <v>139</v>
      </c>
      <c r="J22" s="5" t="s">
        <v>140</v>
      </c>
      <c r="K22" s="7" t="s">
        <v>29</v>
      </c>
      <c r="L22" s="1" t="s">
        <v>30</v>
      </c>
      <c r="M22" s="1"/>
      <c r="N22" s="385"/>
      <c r="O22" s="385"/>
      <c r="P22" s="385"/>
      <c r="Q22" s="385"/>
      <c r="R22" s="385"/>
      <c r="S22" s="2"/>
      <c r="T22" s="7"/>
      <c r="U22" s="1"/>
      <c r="V22" s="1" t="s">
        <v>141</v>
      </c>
      <c r="W22" s="1" t="s">
        <v>142</v>
      </c>
      <c r="X22" s="1" t="s">
        <v>143</v>
      </c>
      <c r="Y22" s="2">
        <v>78</v>
      </c>
      <c r="Z22" s="6">
        <v>19.23</v>
      </c>
      <c r="AA22" s="2">
        <v>77</v>
      </c>
      <c r="AB22" s="6">
        <v>0</v>
      </c>
    </row>
    <row r="23" spans="1:28" x14ac:dyDescent="0.25">
      <c r="A23" s="460"/>
      <c r="B23" s="1" t="s">
        <v>22</v>
      </c>
      <c r="C23" s="2">
        <v>20</v>
      </c>
      <c r="D23" s="3">
        <v>36640142</v>
      </c>
      <c r="E23" s="2" t="s">
        <v>43</v>
      </c>
      <c r="F23" s="2" t="s">
        <v>24</v>
      </c>
      <c r="G23" s="7" t="s">
        <v>25</v>
      </c>
      <c r="H23" s="1" t="s">
        <v>26</v>
      </c>
      <c r="I23" s="4" t="s">
        <v>144</v>
      </c>
      <c r="J23" s="5" t="s">
        <v>145</v>
      </c>
      <c r="K23" s="7" t="s">
        <v>29</v>
      </c>
      <c r="L23" s="1" t="s">
        <v>39</v>
      </c>
      <c r="M23" s="1" t="s">
        <v>51</v>
      </c>
      <c r="N23" s="385"/>
      <c r="O23" s="385"/>
      <c r="P23" s="385"/>
      <c r="Q23" s="385"/>
      <c r="R23" s="385"/>
      <c r="S23" s="2"/>
      <c r="T23" s="7"/>
      <c r="U23" s="1"/>
      <c r="V23" s="1" t="s">
        <v>141</v>
      </c>
      <c r="W23" s="1" t="s">
        <v>146</v>
      </c>
      <c r="X23" s="1" t="s">
        <v>147</v>
      </c>
      <c r="Y23" s="2">
        <v>59</v>
      </c>
      <c r="Z23" s="6">
        <v>13.56</v>
      </c>
      <c r="AA23" s="2">
        <v>82</v>
      </c>
      <c r="AB23" s="6">
        <v>0</v>
      </c>
    </row>
    <row r="24" spans="1:28" x14ac:dyDescent="0.25">
      <c r="A24" s="460"/>
      <c r="B24" s="1" t="s">
        <v>22</v>
      </c>
      <c r="C24" s="2">
        <v>22</v>
      </c>
      <c r="D24" s="3">
        <v>30762055</v>
      </c>
      <c r="E24" s="2" t="s">
        <v>43</v>
      </c>
      <c r="F24" s="2" t="s">
        <v>23</v>
      </c>
      <c r="G24" s="7" t="s">
        <v>25</v>
      </c>
      <c r="H24" s="1" t="s">
        <v>26</v>
      </c>
      <c r="I24" s="4" t="s">
        <v>148</v>
      </c>
      <c r="J24" s="5" t="s">
        <v>149</v>
      </c>
      <c r="K24" s="7" t="s">
        <v>29</v>
      </c>
      <c r="L24" s="1" t="s">
        <v>30</v>
      </c>
      <c r="M24" s="1" t="s">
        <v>56</v>
      </c>
      <c r="N24" s="385"/>
      <c r="O24" s="385"/>
      <c r="P24" s="385"/>
      <c r="Q24" s="385"/>
      <c r="R24" s="385"/>
      <c r="S24" s="2"/>
      <c r="T24" s="7"/>
      <c r="U24" s="1"/>
      <c r="V24" s="1" t="s">
        <v>150</v>
      </c>
      <c r="W24" s="1" t="s">
        <v>151</v>
      </c>
      <c r="X24" s="1" t="s">
        <v>152</v>
      </c>
      <c r="Y24" s="2">
        <v>67</v>
      </c>
      <c r="Z24" s="6">
        <v>14.93</v>
      </c>
      <c r="AA24" s="2">
        <v>94</v>
      </c>
      <c r="AB24" s="6">
        <v>0</v>
      </c>
    </row>
    <row r="25" spans="1:28" x14ac:dyDescent="0.25">
      <c r="A25" s="460"/>
      <c r="B25" s="8" t="s">
        <v>153</v>
      </c>
      <c r="C25" s="9">
        <v>1</v>
      </c>
      <c r="D25" s="10">
        <v>1019624</v>
      </c>
      <c r="E25" s="9" t="s">
        <v>43</v>
      </c>
      <c r="F25" s="9" t="s">
        <v>35</v>
      </c>
      <c r="G25" s="14" t="s">
        <v>25</v>
      </c>
      <c r="H25" s="8" t="s">
        <v>36</v>
      </c>
      <c r="I25" s="11" t="s">
        <v>154</v>
      </c>
      <c r="J25" s="12" t="s">
        <v>155</v>
      </c>
      <c r="K25" s="14" t="s">
        <v>29</v>
      </c>
      <c r="L25" s="8"/>
      <c r="M25" s="8"/>
      <c r="N25" s="386"/>
      <c r="O25" s="386"/>
      <c r="P25" s="386"/>
      <c r="Q25" s="386"/>
      <c r="R25" s="386"/>
      <c r="S25" s="9"/>
      <c r="T25" s="14"/>
      <c r="U25" s="8"/>
      <c r="V25" s="8" t="s">
        <v>156</v>
      </c>
      <c r="W25" s="8" t="s">
        <v>157</v>
      </c>
      <c r="X25" s="8" t="s">
        <v>158</v>
      </c>
      <c r="Y25" s="9">
        <v>66</v>
      </c>
      <c r="Z25" s="13">
        <v>0</v>
      </c>
      <c r="AA25" s="9">
        <v>92</v>
      </c>
      <c r="AB25" s="13">
        <v>30.43</v>
      </c>
    </row>
    <row r="26" spans="1:28" x14ac:dyDescent="0.25">
      <c r="A26" s="460"/>
      <c r="B26" s="8" t="s">
        <v>153</v>
      </c>
      <c r="C26" s="9">
        <v>1</v>
      </c>
      <c r="D26" s="10">
        <v>1019626</v>
      </c>
      <c r="E26" s="9" t="s">
        <v>159</v>
      </c>
      <c r="F26" s="9" t="s">
        <v>35</v>
      </c>
      <c r="G26" s="14" t="s">
        <v>160</v>
      </c>
      <c r="H26" s="8" t="s">
        <v>36</v>
      </c>
      <c r="I26" s="11" t="s">
        <v>154</v>
      </c>
      <c r="J26" s="12" t="s">
        <v>161</v>
      </c>
      <c r="K26" s="14" t="s">
        <v>81</v>
      </c>
      <c r="L26" s="8"/>
      <c r="M26" s="8"/>
      <c r="N26" s="386"/>
      <c r="O26" s="386"/>
      <c r="P26" s="386"/>
      <c r="Q26" s="386"/>
      <c r="R26" s="386"/>
      <c r="S26" s="9"/>
      <c r="T26" s="14"/>
      <c r="U26" s="8"/>
      <c r="V26" s="8" t="s">
        <v>156</v>
      </c>
      <c r="W26" s="8" t="s">
        <v>157</v>
      </c>
      <c r="X26" s="8" t="s">
        <v>162</v>
      </c>
      <c r="Y26" s="9">
        <v>66</v>
      </c>
      <c r="Z26" s="13">
        <v>0</v>
      </c>
      <c r="AA26" s="9">
        <v>94</v>
      </c>
      <c r="AB26" s="13">
        <v>30.85</v>
      </c>
    </row>
    <row r="27" spans="1:28" x14ac:dyDescent="0.25">
      <c r="A27" s="460"/>
      <c r="B27" s="8" t="s">
        <v>153</v>
      </c>
      <c r="C27" s="9">
        <v>1</v>
      </c>
      <c r="D27" s="10">
        <v>158911777</v>
      </c>
      <c r="E27" s="9" t="s">
        <v>23</v>
      </c>
      <c r="F27" s="9" t="s">
        <v>43</v>
      </c>
      <c r="G27" s="14" t="s">
        <v>25</v>
      </c>
      <c r="H27" s="8" t="s">
        <v>26</v>
      </c>
      <c r="I27" s="11" t="s">
        <v>163</v>
      </c>
      <c r="J27" s="12" t="s">
        <v>164</v>
      </c>
      <c r="K27" s="14" t="s">
        <v>29</v>
      </c>
      <c r="L27" s="8" t="s">
        <v>39</v>
      </c>
      <c r="M27" s="8" t="s">
        <v>51</v>
      </c>
      <c r="N27" s="386"/>
      <c r="O27" s="386"/>
      <c r="P27" s="386"/>
      <c r="Q27" s="386"/>
      <c r="R27" s="386"/>
      <c r="S27" s="9"/>
      <c r="T27" s="14"/>
      <c r="U27" s="8"/>
      <c r="V27" s="8" t="s">
        <v>165</v>
      </c>
      <c r="W27" s="8" t="s">
        <v>166</v>
      </c>
      <c r="X27" s="8" t="s">
        <v>167</v>
      </c>
      <c r="Y27" s="9">
        <v>101</v>
      </c>
      <c r="Z27" s="13">
        <v>0</v>
      </c>
      <c r="AA27" s="9">
        <v>79</v>
      </c>
      <c r="AB27" s="13">
        <v>45.57</v>
      </c>
    </row>
    <row r="28" spans="1:28" x14ac:dyDescent="0.25">
      <c r="A28" s="460"/>
      <c r="B28" s="8" t="s">
        <v>153</v>
      </c>
      <c r="C28" s="9">
        <v>1</v>
      </c>
      <c r="D28" s="10">
        <v>212148586</v>
      </c>
      <c r="E28" s="9" t="s">
        <v>24</v>
      </c>
      <c r="F28" s="9" t="s">
        <v>43</v>
      </c>
      <c r="G28" s="14" t="s">
        <v>25</v>
      </c>
      <c r="H28" s="8" t="s">
        <v>168</v>
      </c>
      <c r="I28" s="11" t="s">
        <v>169</v>
      </c>
      <c r="J28" s="12" t="s">
        <v>170</v>
      </c>
      <c r="K28" s="14" t="s">
        <v>29</v>
      </c>
      <c r="L28" s="8" t="s">
        <v>39</v>
      </c>
      <c r="M28" s="8" t="s">
        <v>51</v>
      </c>
      <c r="N28" s="386"/>
      <c r="O28" s="386"/>
      <c r="P28" s="386"/>
      <c r="Q28" s="386"/>
      <c r="R28" s="386"/>
      <c r="S28" s="9"/>
      <c r="T28" s="14"/>
      <c r="U28" s="8"/>
      <c r="V28" s="8" t="s">
        <v>171</v>
      </c>
      <c r="W28" s="8" t="s">
        <v>172</v>
      </c>
      <c r="X28" s="8" t="s">
        <v>173</v>
      </c>
      <c r="Y28" s="9">
        <v>103</v>
      </c>
      <c r="Z28" s="13">
        <v>0</v>
      </c>
      <c r="AA28" s="9">
        <v>71</v>
      </c>
      <c r="AB28" s="13">
        <v>42.25</v>
      </c>
    </row>
    <row r="29" spans="1:28" x14ac:dyDescent="0.25">
      <c r="A29" s="460"/>
      <c r="B29" s="8" t="s">
        <v>153</v>
      </c>
      <c r="C29" s="9">
        <v>2</v>
      </c>
      <c r="D29" s="10">
        <v>79350287</v>
      </c>
      <c r="E29" s="9" t="s">
        <v>43</v>
      </c>
      <c r="F29" s="9" t="s">
        <v>35</v>
      </c>
      <c r="G29" s="14" t="s">
        <v>25</v>
      </c>
      <c r="H29" s="8" t="s">
        <v>26</v>
      </c>
      <c r="I29" s="11" t="s">
        <v>174</v>
      </c>
      <c r="J29" s="12" t="s">
        <v>175</v>
      </c>
      <c r="K29" s="14" t="s">
        <v>109</v>
      </c>
      <c r="L29" s="8"/>
      <c r="M29" s="8"/>
      <c r="N29" s="386"/>
      <c r="O29" s="386"/>
      <c r="P29" s="386"/>
      <c r="Q29" s="386"/>
      <c r="R29" s="386"/>
      <c r="S29" s="9"/>
      <c r="T29" s="14"/>
      <c r="U29" s="8"/>
      <c r="V29" s="8" t="s">
        <v>125</v>
      </c>
      <c r="W29" s="8" t="s">
        <v>176</v>
      </c>
      <c r="X29" s="8" t="s">
        <v>177</v>
      </c>
      <c r="Y29" s="9">
        <v>77</v>
      </c>
      <c r="Z29" s="13">
        <v>0</v>
      </c>
      <c r="AA29" s="9">
        <v>84</v>
      </c>
      <c r="AB29" s="13">
        <v>38.1</v>
      </c>
    </row>
    <row r="30" spans="1:28" x14ac:dyDescent="0.25">
      <c r="A30" s="460"/>
      <c r="B30" s="8" t="s">
        <v>153</v>
      </c>
      <c r="C30" s="9">
        <v>2</v>
      </c>
      <c r="D30" s="10">
        <v>102003657</v>
      </c>
      <c r="E30" s="9" t="s">
        <v>23</v>
      </c>
      <c r="F30" s="9" t="s">
        <v>24</v>
      </c>
      <c r="G30" s="14" t="s">
        <v>25</v>
      </c>
      <c r="H30" s="8" t="s">
        <v>26</v>
      </c>
      <c r="I30" s="11" t="s">
        <v>178</v>
      </c>
      <c r="J30" s="12" t="s">
        <v>179</v>
      </c>
      <c r="K30" s="14" t="s">
        <v>29</v>
      </c>
      <c r="L30" s="8" t="s">
        <v>39</v>
      </c>
      <c r="M30" s="8" t="s">
        <v>51</v>
      </c>
      <c r="N30" s="386"/>
      <c r="O30" s="386"/>
      <c r="P30" s="386"/>
      <c r="Q30" s="386"/>
      <c r="R30" s="386"/>
      <c r="S30" s="9"/>
      <c r="T30" s="14"/>
      <c r="U30" s="8"/>
      <c r="V30" s="8" t="s">
        <v>180</v>
      </c>
      <c r="W30" s="8" t="s">
        <v>181</v>
      </c>
      <c r="X30" s="8" t="s">
        <v>182</v>
      </c>
      <c r="Y30" s="9">
        <v>71</v>
      </c>
      <c r="Z30" s="13">
        <v>0</v>
      </c>
      <c r="AA30" s="9">
        <v>115</v>
      </c>
      <c r="AB30" s="13">
        <v>40.869999999999997</v>
      </c>
    </row>
    <row r="31" spans="1:28" x14ac:dyDescent="0.25">
      <c r="A31" s="460"/>
      <c r="B31" s="8" t="s">
        <v>153</v>
      </c>
      <c r="C31" s="9">
        <v>2</v>
      </c>
      <c r="D31" s="10">
        <v>128922377</v>
      </c>
      <c r="E31" s="9" t="s">
        <v>23</v>
      </c>
      <c r="F31" s="9" t="s">
        <v>24</v>
      </c>
      <c r="G31" s="14" t="s">
        <v>25</v>
      </c>
      <c r="H31" s="8" t="s">
        <v>73</v>
      </c>
      <c r="I31" s="11" t="s">
        <v>183</v>
      </c>
      <c r="J31" s="12" t="s">
        <v>184</v>
      </c>
      <c r="K31" s="14" t="s">
        <v>109</v>
      </c>
      <c r="L31" s="8"/>
      <c r="M31" s="8"/>
      <c r="N31" s="386"/>
      <c r="O31" s="386"/>
      <c r="P31" s="386"/>
      <c r="Q31" s="386"/>
      <c r="R31" s="386"/>
      <c r="S31" s="9"/>
      <c r="T31" s="14"/>
      <c r="U31" s="8"/>
      <c r="V31" s="8" t="s">
        <v>185</v>
      </c>
      <c r="W31" s="8" t="s">
        <v>186</v>
      </c>
      <c r="X31" s="8" t="s">
        <v>187</v>
      </c>
      <c r="Y31" s="9">
        <v>75</v>
      </c>
      <c r="Z31" s="13">
        <v>0</v>
      </c>
      <c r="AA31" s="9">
        <v>94</v>
      </c>
      <c r="AB31" s="13">
        <v>41.49</v>
      </c>
    </row>
    <row r="32" spans="1:28" x14ac:dyDescent="0.25">
      <c r="A32" s="460"/>
      <c r="B32" s="8" t="s">
        <v>153</v>
      </c>
      <c r="C32" s="9">
        <v>3</v>
      </c>
      <c r="D32" s="10">
        <v>113138968</v>
      </c>
      <c r="E32" s="9" t="s">
        <v>24</v>
      </c>
      <c r="F32" s="9" t="s">
        <v>23</v>
      </c>
      <c r="G32" s="14" t="s">
        <v>25</v>
      </c>
      <c r="H32" s="8" t="s">
        <v>26</v>
      </c>
      <c r="I32" s="11" t="s">
        <v>188</v>
      </c>
      <c r="J32" s="12" t="s">
        <v>189</v>
      </c>
      <c r="K32" s="14" t="s">
        <v>29</v>
      </c>
      <c r="L32" s="8" t="s">
        <v>39</v>
      </c>
      <c r="M32" s="8" t="s">
        <v>51</v>
      </c>
      <c r="N32" s="386">
        <v>1270577267</v>
      </c>
      <c r="O32" s="386"/>
      <c r="P32" s="386"/>
      <c r="Q32" s="386"/>
      <c r="R32" s="386"/>
      <c r="S32" s="9"/>
      <c r="T32" s="14"/>
      <c r="U32" s="8"/>
      <c r="V32" s="8" t="s">
        <v>87</v>
      </c>
      <c r="W32" s="8" t="s">
        <v>190</v>
      </c>
      <c r="X32" s="8" t="s">
        <v>191</v>
      </c>
      <c r="Y32" s="9">
        <v>71</v>
      </c>
      <c r="Z32" s="13">
        <v>0</v>
      </c>
      <c r="AA32" s="9">
        <v>76</v>
      </c>
      <c r="AB32" s="13">
        <v>44.74</v>
      </c>
    </row>
    <row r="33" spans="1:28" x14ac:dyDescent="0.25">
      <c r="A33" s="460"/>
      <c r="B33" s="8" t="s">
        <v>153</v>
      </c>
      <c r="C33" s="9">
        <v>3</v>
      </c>
      <c r="D33" s="10">
        <v>140281133</v>
      </c>
      <c r="E33" s="9" t="s">
        <v>23</v>
      </c>
      <c r="F33" s="9" t="s">
        <v>43</v>
      </c>
      <c r="G33" s="14" t="s">
        <v>25</v>
      </c>
      <c r="H33" s="8" t="s">
        <v>26</v>
      </c>
      <c r="I33" s="11" t="s">
        <v>192</v>
      </c>
      <c r="J33" s="12" t="s">
        <v>193</v>
      </c>
      <c r="K33" s="14" t="s">
        <v>29</v>
      </c>
      <c r="L33" s="8" t="s">
        <v>39</v>
      </c>
      <c r="M33" s="8" t="s">
        <v>51</v>
      </c>
      <c r="N33" s="386"/>
      <c r="O33" s="386"/>
      <c r="P33" s="386"/>
      <c r="Q33" s="386"/>
      <c r="R33" s="386"/>
      <c r="S33" s="9"/>
      <c r="T33" s="14"/>
      <c r="U33" s="8"/>
      <c r="V33" s="8" t="s">
        <v>194</v>
      </c>
      <c r="W33" s="8" t="s">
        <v>195</v>
      </c>
      <c r="X33" s="8" t="s">
        <v>196</v>
      </c>
      <c r="Y33" s="9">
        <v>67</v>
      </c>
      <c r="Z33" s="13">
        <v>0</v>
      </c>
      <c r="AA33" s="9">
        <v>71</v>
      </c>
      <c r="AB33" s="13">
        <v>54.93</v>
      </c>
    </row>
    <row r="34" spans="1:28" ht="30" x14ac:dyDescent="0.25">
      <c r="A34" s="460"/>
      <c r="B34" s="8" t="s">
        <v>153</v>
      </c>
      <c r="C34" s="9">
        <v>4</v>
      </c>
      <c r="D34" s="10">
        <v>82061770</v>
      </c>
      <c r="E34" s="9" t="s">
        <v>23</v>
      </c>
      <c r="F34" s="9" t="s">
        <v>35</v>
      </c>
      <c r="G34" s="14" t="s">
        <v>25</v>
      </c>
      <c r="H34" s="8" t="s">
        <v>26</v>
      </c>
      <c r="I34" s="11" t="s">
        <v>197</v>
      </c>
      <c r="J34" s="12" t="s">
        <v>198</v>
      </c>
      <c r="K34" s="14" t="s">
        <v>29</v>
      </c>
      <c r="L34" s="8" t="s">
        <v>39</v>
      </c>
      <c r="M34" s="8" t="s">
        <v>51</v>
      </c>
      <c r="N34" s="386"/>
      <c r="O34" s="386"/>
      <c r="P34" s="386"/>
      <c r="Q34" s="386"/>
      <c r="R34" s="386"/>
      <c r="S34" s="9"/>
      <c r="T34" s="14"/>
      <c r="U34" s="8"/>
      <c r="V34" s="8" t="s">
        <v>199</v>
      </c>
      <c r="W34" s="8" t="s">
        <v>200</v>
      </c>
      <c r="X34" s="8" t="s">
        <v>201</v>
      </c>
      <c r="Y34" s="9">
        <v>77</v>
      </c>
      <c r="Z34" s="13">
        <v>0</v>
      </c>
      <c r="AA34" s="9">
        <v>65</v>
      </c>
      <c r="AB34" s="13">
        <v>33.85</v>
      </c>
    </row>
    <row r="35" spans="1:28" x14ac:dyDescent="0.25">
      <c r="A35" s="460"/>
      <c r="B35" s="8" t="s">
        <v>153</v>
      </c>
      <c r="C35" s="9">
        <v>4</v>
      </c>
      <c r="D35" s="10">
        <v>169229335</v>
      </c>
      <c r="E35" s="9" t="s">
        <v>35</v>
      </c>
      <c r="F35" s="9" t="s">
        <v>43</v>
      </c>
      <c r="G35" s="14" t="s">
        <v>25</v>
      </c>
      <c r="H35" s="8" t="s">
        <v>26</v>
      </c>
      <c r="I35" s="11" t="s">
        <v>202</v>
      </c>
      <c r="J35" s="12" t="s">
        <v>203</v>
      </c>
      <c r="K35" s="14" t="s">
        <v>29</v>
      </c>
      <c r="L35" s="8" t="s">
        <v>30</v>
      </c>
      <c r="M35" s="8" t="s">
        <v>56</v>
      </c>
      <c r="N35" s="386"/>
      <c r="O35" s="386"/>
      <c r="P35" s="386"/>
      <c r="Q35" s="386"/>
      <c r="R35" s="386"/>
      <c r="S35" s="9"/>
      <c r="T35" s="14"/>
      <c r="U35" s="8"/>
      <c r="V35" s="8" t="s">
        <v>171</v>
      </c>
      <c r="W35" s="8" t="s">
        <v>204</v>
      </c>
      <c r="X35" s="8" t="s">
        <v>205</v>
      </c>
      <c r="Y35" s="9">
        <v>75</v>
      </c>
      <c r="Z35" s="13">
        <v>0</v>
      </c>
      <c r="AA35" s="9">
        <v>99</v>
      </c>
      <c r="AB35" s="13">
        <v>27.27</v>
      </c>
    </row>
    <row r="36" spans="1:28" x14ac:dyDescent="0.25">
      <c r="A36" s="460"/>
      <c r="B36" s="8" t="s">
        <v>153</v>
      </c>
      <c r="C36" s="9">
        <v>5</v>
      </c>
      <c r="D36" s="10">
        <v>74400206</v>
      </c>
      <c r="E36" s="9" t="s">
        <v>23</v>
      </c>
      <c r="F36" s="9" t="s">
        <v>43</v>
      </c>
      <c r="G36" s="14" t="s">
        <v>25</v>
      </c>
      <c r="H36" s="8" t="s">
        <v>26</v>
      </c>
      <c r="I36" s="11" t="s">
        <v>206</v>
      </c>
      <c r="J36" s="12" t="s">
        <v>207</v>
      </c>
      <c r="K36" s="14" t="s">
        <v>29</v>
      </c>
      <c r="L36" s="8"/>
      <c r="M36" s="8"/>
      <c r="N36" s="386"/>
      <c r="O36" s="386"/>
      <c r="P36" s="386"/>
      <c r="Q36" s="386"/>
      <c r="R36" s="386"/>
      <c r="S36" s="9"/>
      <c r="T36" s="14"/>
      <c r="U36" s="8"/>
      <c r="V36" s="8" t="s">
        <v>208</v>
      </c>
      <c r="W36" s="8" t="s">
        <v>209</v>
      </c>
      <c r="X36" s="8" t="s">
        <v>210</v>
      </c>
      <c r="Y36" s="9">
        <v>72</v>
      </c>
      <c r="Z36" s="13">
        <v>0</v>
      </c>
      <c r="AA36" s="9">
        <v>85</v>
      </c>
      <c r="AB36" s="13">
        <v>29.41</v>
      </c>
    </row>
    <row r="37" spans="1:28" x14ac:dyDescent="0.25">
      <c r="A37" s="460"/>
      <c r="B37" s="8" t="s">
        <v>153</v>
      </c>
      <c r="C37" s="9">
        <v>5</v>
      </c>
      <c r="D37" s="10">
        <v>126778796</v>
      </c>
      <c r="E37" s="9"/>
      <c r="F37" s="9" t="s">
        <v>35</v>
      </c>
      <c r="G37" s="14" t="s">
        <v>211</v>
      </c>
      <c r="H37" s="8" t="s">
        <v>26</v>
      </c>
      <c r="I37" s="11" t="s">
        <v>212</v>
      </c>
      <c r="J37" s="12" t="s">
        <v>213</v>
      </c>
      <c r="K37" s="14" t="s">
        <v>81</v>
      </c>
      <c r="L37" s="8"/>
      <c r="M37" s="8"/>
      <c r="N37" s="386"/>
      <c r="O37" s="386"/>
      <c r="P37" s="386"/>
      <c r="Q37" s="386"/>
      <c r="R37" s="386"/>
      <c r="S37" s="9"/>
      <c r="T37" s="14"/>
      <c r="U37" s="8"/>
      <c r="V37" s="8" t="s">
        <v>65</v>
      </c>
      <c r="W37" s="8" t="s">
        <v>214</v>
      </c>
      <c r="X37" s="8" t="s">
        <v>215</v>
      </c>
      <c r="Y37" s="9">
        <v>93</v>
      </c>
      <c r="Z37" s="13">
        <v>0</v>
      </c>
      <c r="AA37" s="9">
        <v>79</v>
      </c>
      <c r="AB37" s="13">
        <v>49.37</v>
      </c>
    </row>
    <row r="38" spans="1:28" x14ac:dyDescent="0.25">
      <c r="A38" s="460"/>
      <c r="B38" s="8" t="s">
        <v>153</v>
      </c>
      <c r="C38" s="9">
        <v>5</v>
      </c>
      <c r="D38" s="10">
        <v>169496181</v>
      </c>
      <c r="E38" s="9" t="s">
        <v>35</v>
      </c>
      <c r="F38" s="9"/>
      <c r="G38" s="14" t="s">
        <v>61</v>
      </c>
      <c r="H38" s="8" t="s">
        <v>26</v>
      </c>
      <c r="I38" s="11" t="s">
        <v>216</v>
      </c>
      <c r="J38" s="12" t="s">
        <v>217</v>
      </c>
      <c r="K38" s="14" t="s">
        <v>81</v>
      </c>
      <c r="L38" s="8"/>
      <c r="M38" s="8"/>
      <c r="N38" s="386"/>
      <c r="O38" s="386"/>
      <c r="P38" s="386"/>
      <c r="Q38" s="386"/>
      <c r="R38" s="386"/>
      <c r="S38" s="9"/>
      <c r="T38" s="14"/>
      <c r="U38" s="8"/>
      <c r="V38" s="8" t="s">
        <v>218</v>
      </c>
      <c r="W38" s="8" t="s">
        <v>219</v>
      </c>
      <c r="X38" s="8" t="s">
        <v>220</v>
      </c>
      <c r="Y38" s="9">
        <v>91</v>
      </c>
      <c r="Z38" s="13">
        <v>0</v>
      </c>
      <c r="AA38" s="9">
        <v>76</v>
      </c>
      <c r="AB38" s="13">
        <v>36.840000000000003</v>
      </c>
    </row>
    <row r="39" spans="1:28" x14ac:dyDescent="0.25">
      <c r="A39" s="460"/>
      <c r="B39" s="8" t="s">
        <v>153</v>
      </c>
      <c r="C39" s="9">
        <v>6</v>
      </c>
      <c r="D39" s="10">
        <v>27368213</v>
      </c>
      <c r="E39" s="9" t="s">
        <v>43</v>
      </c>
      <c r="F39" s="9" t="s">
        <v>23</v>
      </c>
      <c r="G39" s="14" t="s">
        <v>25</v>
      </c>
      <c r="H39" s="8" t="s">
        <v>26</v>
      </c>
      <c r="I39" s="11" t="s">
        <v>221</v>
      </c>
      <c r="J39" s="12" t="s">
        <v>222</v>
      </c>
      <c r="K39" s="14" t="s">
        <v>29</v>
      </c>
      <c r="L39" s="8" t="s">
        <v>39</v>
      </c>
      <c r="M39" s="8" t="s">
        <v>51</v>
      </c>
      <c r="N39" s="386"/>
      <c r="O39" s="386"/>
      <c r="P39" s="386"/>
      <c r="Q39" s="386"/>
      <c r="R39" s="386"/>
      <c r="S39" s="9"/>
      <c r="T39" s="14"/>
      <c r="U39" s="8"/>
      <c r="V39" s="8" t="s">
        <v>223</v>
      </c>
      <c r="W39" s="8" t="s">
        <v>224</v>
      </c>
      <c r="X39" s="8" t="s">
        <v>225</v>
      </c>
      <c r="Y39" s="9">
        <v>111</v>
      </c>
      <c r="Z39" s="13">
        <v>0</v>
      </c>
      <c r="AA39" s="9">
        <v>100</v>
      </c>
      <c r="AB39" s="13">
        <v>35</v>
      </c>
    </row>
    <row r="40" spans="1:28" ht="30" x14ac:dyDescent="0.25">
      <c r="A40" s="460"/>
      <c r="B40" s="8" t="s">
        <v>153</v>
      </c>
      <c r="C40" s="9">
        <v>6</v>
      </c>
      <c r="D40" s="10">
        <v>33134303</v>
      </c>
      <c r="E40" s="9" t="s">
        <v>43</v>
      </c>
      <c r="F40" s="9" t="s">
        <v>35</v>
      </c>
      <c r="G40" s="14" t="s">
        <v>25</v>
      </c>
      <c r="H40" s="8" t="s">
        <v>26</v>
      </c>
      <c r="I40" s="11" t="s">
        <v>226</v>
      </c>
      <c r="J40" s="12" t="s">
        <v>227</v>
      </c>
      <c r="K40" s="14" t="s">
        <v>29</v>
      </c>
      <c r="L40" s="8" t="s">
        <v>30</v>
      </c>
      <c r="M40" s="8" t="s">
        <v>51</v>
      </c>
      <c r="N40" s="386">
        <v>539241662</v>
      </c>
      <c r="O40" s="386" t="s">
        <v>4182</v>
      </c>
      <c r="P40" s="386"/>
      <c r="Q40" s="386" t="s">
        <v>4183</v>
      </c>
      <c r="R40" s="386" t="s">
        <v>4184</v>
      </c>
      <c r="S40" s="9"/>
      <c r="T40" s="14"/>
      <c r="U40" s="8"/>
      <c r="V40" s="8" t="s">
        <v>228</v>
      </c>
      <c r="W40" s="8" t="s">
        <v>229</v>
      </c>
      <c r="X40" s="8" t="s">
        <v>230</v>
      </c>
      <c r="Y40" s="9">
        <v>79</v>
      </c>
      <c r="Z40" s="13">
        <v>0</v>
      </c>
      <c r="AA40" s="9">
        <v>108</v>
      </c>
      <c r="AB40" s="13">
        <v>25.93</v>
      </c>
    </row>
    <row r="41" spans="1:28" x14ac:dyDescent="0.25">
      <c r="A41" s="460"/>
      <c r="B41" s="8" t="s">
        <v>153</v>
      </c>
      <c r="C41" s="9">
        <v>7</v>
      </c>
      <c r="D41" s="10">
        <v>87196189</v>
      </c>
      <c r="E41" s="9" t="s">
        <v>24</v>
      </c>
      <c r="F41" s="9" t="s">
        <v>23</v>
      </c>
      <c r="G41" s="14" t="s">
        <v>25</v>
      </c>
      <c r="H41" s="8" t="s">
        <v>26</v>
      </c>
      <c r="I41" s="11" t="s">
        <v>231</v>
      </c>
      <c r="J41" s="12" t="s">
        <v>232</v>
      </c>
      <c r="K41" s="14" t="s">
        <v>29</v>
      </c>
      <c r="L41" s="8" t="s">
        <v>30</v>
      </c>
      <c r="M41" s="8" t="s">
        <v>56</v>
      </c>
      <c r="N41" s="386"/>
      <c r="O41" s="386"/>
      <c r="P41" s="386"/>
      <c r="Q41" s="386"/>
      <c r="R41" s="386"/>
      <c r="S41" s="9"/>
      <c r="T41" s="14"/>
      <c r="U41" s="8"/>
      <c r="V41" s="8" t="s">
        <v>233</v>
      </c>
      <c r="W41" s="8" t="s">
        <v>234</v>
      </c>
      <c r="X41" s="8" t="s">
        <v>235</v>
      </c>
      <c r="Y41" s="9">
        <v>112</v>
      </c>
      <c r="Z41" s="13">
        <v>1</v>
      </c>
      <c r="AA41" s="9">
        <v>126</v>
      </c>
      <c r="AB41" s="13">
        <v>32.54</v>
      </c>
    </row>
    <row r="42" spans="1:28" x14ac:dyDescent="0.25">
      <c r="A42" s="460"/>
      <c r="B42" s="8" t="s">
        <v>153</v>
      </c>
      <c r="C42" s="9">
        <v>7</v>
      </c>
      <c r="D42" s="10">
        <v>100469340</v>
      </c>
      <c r="E42" s="9" t="s">
        <v>35</v>
      </c>
      <c r="F42" s="9" t="s">
        <v>43</v>
      </c>
      <c r="G42" s="14" t="s">
        <v>25</v>
      </c>
      <c r="H42" s="8" t="s">
        <v>26</v>
      </c>
      <c r="I42" s="11" t="s">
        <v>236</v>
      </c>
      <c r="J42" s="12" t="s">
        <v>237</v>
      </c>
      <c r="K42" s="14" t="s">
        <v>29</v>
      </c>
      <c r="L42" s="8" t="s">
        <v>30</v>
      </c>
      <c r="M42" s="8" t="s">
        <v>56</v>
      </c>
      <c r="N42" s="386"/>
      <c r="O42" s="386"/>
      <c r="P42" s="386"/>
      <c r="Q42" s="386"/>
      <c r="R42" s="386"/>
      <c r="S42" s="9"/>
      <c r="T42" s="14"/>
      <c r="U42" s="8"/>
      <c r="V42" s="8" t="s">
        <v>238</v>
      </c>
      <c r="W42" s="8" t="s">
        <v>239</v>
      </c>
      <c r="X42" s="8" t="s">
        <v>240</v>
      </c>
      <c r="Y42" s="9">
        <v>116</v>
      </c>
      <c r="Z42" s="13">
        <v>0</v>
      </c>
      <c r="AA42" s="9">
        <v>115</v>
      </c>
      <c r="AB42" s="13">
        <v>27.83</v>
      </c>
    </row>
    <row r="43" spans="1:28" x14ac:dyDescent="0.25">
      <c r="A43" s="460"/>
      <c r="B43" s="8" t="s">
        <v>153</v>
      </c>
      <c r="C43" s="9">
        <v>7</v>
      </c>
      <c r="D43" s="10">
        <v>133994145</v>
      </c>
      <c r="E43" s="9" t="s">
        <v>23</v>
      </c>
      <c r="F43" s="9" t="s">
        <v>43</v>
      </c>
      <c r="G43" s="14" t="s">
        <v>25</v>
      </c>
      <c r="H43" s="8" t="s">
        <v>26</v>
      </c>
      <c r="I43" s="11" t="s">
        <v>241</v>
      </c>
      <c r="J43" s="12" t="s">
        <v>242</v>
      </c>
      <c r="K43" s="14" t="s">
        <v>29</v>
      </c>
      <c r="L43" s="8" t="s">
        <v>39</v>
      </c>
      <c r="M43" s="8" t="s">
        <v>31</v>
      </c>
      <c r="N43" s="386"/>
      <c r="O43" s="386"/>
      <c r="P43" s="386"/>
      <c r="Q43" s="386"/>
      <c r="R43" s="386"/>
      <c r="S43" s="9"/>
      <c r="T43" s="14"/>
      <c r="U43" s="8"/>
      <c r="V43" s="8" t="s">
        <v>243</v>
      </c>
      <c r="W43" s="8" t="s">
        <v>244</v>
      </c>
      <c r="X43" s="8" t="s">
        <v>245</v>
      </c>
      <c r="Y43" s="9">
        <v>101</v>
      </c>
      <c r="Z43" s="13">
        <v>0</v>
      </c>
      <c r="AA43" s="9">
        <v>238</v>
      </c>
      <c r="AB43" s="13">
        <v>15.13</v>
      </c>
    </row>
    <row r="44" spans="1:28" x14ac:dyDescent="0.25">
      <c r="A44" s="460"/>
      <c r="B44" s="8" t="s">
        <v>153</v>
      </c>
      <c r="C44" s="9">
        <v>7</v>
      </c>
      <c r="D44" s="10">
        <v>150883650</v>
      </c>
      <c r="E44" s="9" t="s">
        <v>23</v>
      </c>
      <c r="F44" s="9" t="s">
        <v>24</v>
      </c>
      <c r="G44" s="14" t="s">
        <v>25</v>
      </c>
      <c r="H44" s="8" t="s">
        <v>26</v>
      </c>
      <c r="I44" s="11" t="s">
        <v>246</v>
      </c>
      <c r="J44" s="12" t="s">
        <v>247</v>
      </c>
      <c r="K44" s="14" t="s">
        <v>29</v>
      </c>
      <c r="L44" s="8" t="s">
        <v>30</v>
      </c>
      <c r="M44" s="8" t="s">
        <v>56</v>
      </c>
      <c r="N44" s="386">
        <v>770496064</v>
      </c>
      <c r="O44" s="386"/>
      <c r="P44" s="386"/>
      <c r="Q44" s="386" t="s">
        <v>4185</v>
      </c>
      <c r="R44" s="386" t="s">
        <v>4186</v>
      </c>
      <c r="S44" s="9"/>
      <c r="T44" s="14" t="s">
        <v>248</v>
      </c>
      <c r="U44" s="8"/>
      <c r="V44" s="8" t="s">
        <v>249</v>
      </c>
      <c r="W44" s="8" t="s">
        <v>250</v>
      </c>
      <c r="X44" s="8" t="s">
        <v>251</v>
      </c>
      <c r="Y44" s="9">
        <v>87</v>
      </c>
      <c r="Z44" s="13">
        <v>0</v>
      </c>
      <c r="AA44" s="9">
        <v>279</v>
      </c>
      <c r="AB44" s="13">
        <v>17.2</v>
      </c>
    </row>
    <row r="45" spans="1:28" x14ac:dyDescent="0.25">
      <c r="A45" s="460"/>
      <c r="B45" s="8" t="s">
        <v>153</v>
      </c>
      <c r="C45" s="9">
        <v>8</v>
      </c>
      <c r="D45" s="10">
        <v>30954310</v>
      </c>
      <c r="E45" s="9" t="s">
        <v>23</v>
      </c>
      <c r="F45" s="9" t="s">
        <v>24</v>
      </c>
      <c r="G45" s="14" t="s">
        <v>25</v>
      </c>
      <c r="H45" s="8" t="s">
        <v>26</v>
      </c>
      <c r="I45" s="11" t="s">
        <v>252</v>
      </c>
      <c r="J45" s="12" t="s">
        <v>253</v>
      </c>
      <c r="K45" s="14" t="s">
        <v>29</v>
      </c>
      <c r="L45" s="8" t="s">
        <v>30</v>
      </c>
      <c r="M45" s="8" t="s">
        <v>56</v>
      </c>
      <c r="N45" s="386"/>
      <c r="O45" s="386"/>
      <c r="P45" s="386"/>
      <c r="Q45" s="386"/>
      <c r="R45" s="386"/>
      <c r="S45" s="9"/>
      <c r="T45" s="14"/>
      <c r="U45" s="8"/>
      <c r="V45" s="8" t="s">
        <v>125</v>
      </c>
      <c r="W45" s="8" t="s">
        <v>254</v>
      </c>
      <c r="X45" s="8" t="s">
        <v>255</v>
      </c>
      <c r="Y45" s="9">
        <v>70</v>
      </c>
      <c r="Z45" s="13">
        <v>0</v>
      </c>
      <c r="AA45" s="9">
        <v>79</v>
      </c>
      <c r="AB45" s="13">
        <v>30.38</v>
      </c>
    </row>
    <row r="46" spans="1:28" x14ac:dyDescent="0.25">
      <c r="A46" s="460"/>
      <c r="B46" s="8" t="s">
        <v>153</v>
      </c>
      <c r="C46" s="9">
        <v>8</v>
      </c>
      <c r="D46" s="10">
        <v>51621485</v>
      </c>
      <c r="E46" s="9" t="s">
        <v>43</v>
      </c>
      <c r="F46" s="9" t="s">
        <v>24</v>
      </c>
      <c r="G46" s="14" t="s">
        <v>25</v>
      </c>
      <c r="H46" s="8" t="s">
        <v>168</v>
      </c>
      <c r="I46" s="11" t="s">
        <v>256</v>
      </c>
      <c r="J46" s="12" t="s">
        <v>257</v>
      </c>
      <c r="K46" s="14" t="s">
        <v>109</v>
      </c>
      <c r="L46" s="8"/>
      <c r="M46" s="8"/>
      <c r="N46" s="386"/>
      <c r="O46" s="386"/>
      <c r="P46" s="386"/>
      <c r="Q46" s="386"/>
      <c r="R46" s="386"/>
      <c r="S46" s="9"/>
      <c r="T46" s="14" t="s">
        <v>258</v>
      </c>
      <c r="U46" s="8"/>
      <c r="V46" s="8" t="s">
        <v>259</v>
      </c>
      <c r="W46" s="8" t="s">
        <v>260</v>
      </c>
      <c r="X46" s="8" t="s">
        <v>261</v>
      </c>
      <c r="Y46" s="9">
        <v>82</v>
      </c>
      <c r="Z46" s="13">
        <v>0</v>
      </c>
      <c r="AA46" s="9">
        <v>107</v>
      </c>
      <c r="AB46" s="13">
        <v>51.4</v>
      </c>
    </row>
    <row r="47" spans="1:28" ht="30" x14ac:dyDescent="0.25">
      <c r="A47" s="460"/>
      <c r="B47" s="8" t="s">
        <v>153</v>
      </c>
      <c r="C47" s="9">
        <v>9</v>
      </c>
      <c r="D47" s="10">
        <v>116811465</v>
      </c>
      <c r="E47" s="9" t="s">
        <v>35</v>
      </c>
      <c r="F47" s="9" t="s">
        <v>24</v>
      </c>
      <c r="G47" s="14" t="s">
        <v>25</v>
      </c>
      <c r="H47" s="8" t="s">
        <v>26</v>
      </c>
      <c r="I47" s="11" t="s">
        <v>262</v>
      </c>
      <c r="J47" s="12" t="s">
        <v>263</v>
      </c>
      <c r="K47" s="14" t="s">
        <v>29</v>
      </c>
      <c r="L47" s="8" t="s">
        <v>30</v>
      </c>
      <c r="M47" s="8" t="s">
        <v>56</v>
      </c>
      <c r="N47" s="386"/>
      <c r="O47" s="386"/>
      <c r="P47" s="386"/>
      <c r="Q47" s="386"/>
      <c r="R47" s="386"/>
      <c r="S47" s="9"/>
      <c r="T47" s="14"/>
      <c r="U47" s="8"/>
      <c r="V47" s="8" t="s">
        <v>264</v>
      </c>
      <c r="W47" s="8" t="s">
        <v>265</v>
      </c>
      <c r="X47" s="8" t="s">
        <v>266</v>
      </c>
      <c r="Y47" s="9">
        <v>75</v>
      </c>
      <c r="Z47" s="13">
        <v>0</v>
      </c>
      <c r="AA47" s="9">
        <v>123</v>
      </c>
      <c r="AB47" s="13">
        <v>31.71</v>
      </c>
    </row>
    <row r="48" spans="1:28" x14ac:dyDescent="0.25">
      <c r="A48" s="460"/>
      <c r="B48" s="8" t="s">
        <v>153</v>
      </c>
      <c r="C48" s="9">
        <v>10</v>
      </c>
      <c r="D48" s="10">
        <v>14816385</v>
      </c>
      <c r="E48" s="9" t="s">
        <v>43</v>
      </c>
      <c r="F48" s="9" t="s">
        <v>23</v>
      </c>
      <c r="G48" s="14" t="s">
        <v>25</v>
      </c>
      <c r="H48" s="8" t="s">
        <v>267</v>
      </c>
      <c r="I48" s="11" t="s">
        <v>268</v>
      </c>
      <c r="J48" s="12" t="s">
        <v>269</v>
      </c>
      <c r="K48" s="14" t="s">
        <v>109</v>
      </c>
      <c r="L48" s="8"/>
      <c r="M48" s="8"/>
      <c r="N48" s="386">
        <v>778239622</v>
      </c>
      <c r="O48" s="386"/>
      <c r="P48" s="386"/>
      <c r="Q48" s="386" t="s">
        <v>4181</v>
      </c>
      <c r="R48" s="386"/>
      <c r="S48" s="9"/>
      <c r="T48" s="14"/>
      <c r="U48" s="8"/>
      <c r="V48" s="8" t="s">
        <v>270</v>
      </c>
      <c r="W48" s="8" t="s">
        <v>271</v>
      </c>
      <c r="X48" s="8" t="s">
        <v>272</v>
      </c>
      <c r="Y48" s="9">
        <v>67</v>
      </c>
      <c r="Z48" s="13">
        <v>0</v>
      </c>
      <c r="AA48" s="9">
        <v>84</v>
      </c>
      <c r="AB48" s="13">
        <v>29.76</v>
      </c>
    </row>
    <row r="49" spans="1:28" x14ac:dyDescent="0.25">
      <c r="A49" s="460"/>
      <c r="B49" s="8" t="s">
        <v>153</v>
      </c>
      <c r="C49" s="9">
        <v>10</v>
      </c>
      <c r="D49" s="10">
        <v>38246400</v>
      </c>
      <c r="E49" s="9" t="s">
        <v>23</v>
      </c>
      <c r="F49" s="9" t="s">
        <v>43</v>
      </c>
      <c r="G49" s="14" t="s">
        <v>25</v>
      </c>
      <c r="H49" s="8" t="s">
        <v>273</v>
      </c>
      <c r="I49" s="11" t="s">
        <v>274</v>
      </c>
      <c r="J49" s="12" t="s">
        <v>275</v>
      </c>
      <c r="K49" s="14" t="s">
        <v>29</v>
      </c>
      <c r="L49" s="8" t="s">
        <v>30</v>
      </c>
      <c r="M49" s="8" t="s">
        <v>51</v>
      </c>
      <c r="N49" s="386"/>
      <c r="O49" s="386"/>
      <c r="P49" s="386"/>
      <c r="Q49" s="386"/>
      <c r="R49" s="386"/>
      <c r="S49" s="9"/>
      <c r="T49" s="14"/>
      <c r="U49" s="8"/>
      <c r="V49" s="8" t="s">
        <v>276</v>
      </c>
      <c r="W49" s="8" t="s">
        <v>277</v>
      </c>
      <c r="X49" s="8" t="s">
        <v>278</v>
      </c>
      <c r="Y49" s="9">
        <v>59</v>
      </c>
      <c r="Z49" s="13">
        <v>0</v>
      </c>
      <c r="AA49" s="9">
        <v>67</v>
      </c>
      <c r="AB49" s="13">
        <v>32.840000000000003</v>
      </c>
    </row>
    <row r="50" spans="1:28" x14ac:dyDescent="0.25">
      <c r="A50" s="460"/>
      <c r="B50" s="8" t="s">
        <v>153</v>
      </c>
      <c r="C50" s="9">
        <v>10</v>
      </c>
      <c r="D50" s="10">
        <v>74813148</v>
      </c>
      <c r="E50" s="9" t="s">
        <v>23</v>
      </c>
      <c r="F50" s="9" t="s">
        <v>24</v>
      </c>
      <c r="G50" s="14" t="s">
        <v>25</v>
      </c>
      <c r="H50" s="8" t="s">
        <v>26</v>
      </c>
      <c r="I50" s="11" t="s">
        <v>279</v>
      </c>
      <c r="J50" s="12" t="s">
        <v>280</v>
      </c>
      <c r="K50" s="14" t="s">
        <v>29</v>
      </c>
      <c r="L50" s="8" t="s">
        <v>39</v>
      </c>
      <c r="M50" s="8" t="s">
        <v>51</v>
      </c>
      <c r="N50" s="386">
        <v>778735708</v>
      </c>
      <c r="O50" s="386"/>
      <c r="P50" s="386"/>
      <c r="Q50" s="386" t="s">
        <v>4181</v>
      </c>
      <c r="R50" s="386" t="s">
        <v>4180</v>
      </c>
      <c r="S50" s="9"/>
      <c r="T50" s="14"/>
      <c r="U50" s="8"/>
      <c r="V50" s="8" t="s">
        <v>238</v>
      </c>
      <c r="W50" s="8" t="s">
        <v>281</v>
      </c>
      <c r="X50" s="8" t="s">
        <v>282</v>
      </c>
      <c r="Y50" s="9">
        <v>81</v>
      </c>
      <c r="Z50" s="13">
        <v>0</v>
      </c>
      <c r="AA50" s="9">
        <v>86</v>
      </c>
      <c r="AB50" s="13">
        <v>45.35</v>
      </c>
    </row>
    <row r="51" spans="1:28" x14ac:dyDescent="0.25">
      <c r="A51" s="460"/>
      <c r="B51" s="8" t="s">
        <v>153</v>
      </c>
      <c r="C51" s="9">
        <v>10</v>
      </c>
      <c r="D51" s="10">
        <v>101595968</v>
      </c>
      <c r="E51" s="9" t="s">
        <v>23</v>
      </c>
      <c r="F51" s="9" t="s">
        <v>43</v>
      </c>
      <c r="G51" s="14" t="s">
        <v>25</v>
      </c>
      <c r="H51" s="8" t="s">
        <v>26</v>
      </c>
      <c r="I51" s="11" t="s">
        <v>283</v>
      </c>
      <c r="J51" s="12" t="s">
        <v>284</v>
      </c>
      <c r="K51" s="14" t="s">
        <v>29</v>
      </c>
      <c r="L51" s="8"/>
      <c r="M51" s="8" t="s">
        <v>31</v>
      </c>
      <c r="N51" s="386"/>
      <c r="O51" s="386"/>
      <c r="P51" s="386"/>
      <c r="Q51" s="386"/>
      <c r="R51" s="386"/>
      <c r="S51" s="9"/>
      <c r="T51" s="14"/>
      <c r="U51" s="8"/>
      <c r="V51" s="8" t="s">
        <v>115</v>
      </c>
      <c r="W51" s="8" t="s">
        <v>285</v>
      </c>
      <c r="X51" s="8" t="s">
        <v>286</v>
      </c>
      <c r="Y51" s="9">
        <v>92</v>
      </c>
      <c r="Z51" s="13">
        <v>0</v>
      </c>
      <c r="AA51" s="9">
        <v>44</v>
      </c>
      <c r="AB51" s="13">
        <v>77.27</v>
      </c>
    </row>
    <row r="52" spans="1:28" x14ac:dyDescent="0.25">
      <c r="A52" s="460"/>
      <c r="B52" s="8" t="s">
        <v>153</v>
      </c>
      <c r="C52" s="9">
        <v>11</v>
      </c>
      <c r="D52" s="10">
        <v>1253929</v>
      </c>
      <c r="E52" s="9" t="s">
        <v>23</v>
      </c>
      <c r="F52" s="9" t="s">
        <v>24</v>
      </c>
      <c r="G52" s="14" t="s">
        <v>25</v>
      </c>
      <c r="H52" s="8" t="s">
        <v>26</v>
      </c>
      <c r="I52" s="11" t="s">
        <v>287</v>
      </c>
      <c r="J52" s="12" t="s">
        <v>288</v>
      </c>
      <c r="K52" s="14" t="s">
        <v>29</v>
      </c>
      <c r="L52" s="8"/>
      <c r="M52" s="8"/>
      <c r="N52" s="9">
        <v>760039942</v>
      </c>
      <c r="O52" s="386"/>
      <c r="P52" s="386"/>
      <c r="Q52" s="386"/>
      <c r="R52" s="386"/>
      <c r="S52" s="9"/>
      <c r="T52" s="14"/>
      <c r="U52" s="8"/>
      <c r="V52" s="8" t="s">
        <v>289</v>
      </c>
      <c r="W52" s="8" t="s">
        <v>290</v>
      </c>
      <c r="X52" s="8" t="s">
        <v>291</v>
      </c>
      <c r="Y52" s="9">
        <v>174</v>
      </c>
      <c r="Z52" s="13">
        <v>0</v>
      </c>
      <c r="AA52" s="9">
        <v>253</v>
      </c>
      <c r="AB52" s="13">
        <v>14.23</v>
      </c>
    </row>
    <row r="53" spans="1:28" x14ac:dyDescent="0.25">
      <c r="A53" s="460"/>
      <c r="B53" s="8" t="s">
        <v>153</v>
      </c>
      <c r="C53" s="9">
        <v>11</v>
      </c>
      <c r="D53" s="10">
        <v>26621146</v>
      </c>
      <c r="E53" s="9" t="s">
        <v>24</v>
      </c>
      <c r="F53" s="9" t="s">
        <v>23</v>
      </c>
      <c r="G53" s="14" t="s">
        <v>25</v>
      </c>
      <c r="H53" s="8" t="s">
        <v>26</v>
      </c>
      <c r="I53" s="11" t="s">
        <v>292</v>
      </c>
      <c r="J53" s="12" t="s">
        <v>293</v>
      </c>
      <c r="K53" s="14" t="s">
        <v>29</v>
      </c>
      <c r="L53" s="8" t="s">
        <v>39</v>
      </c>
      <c r="M53" s="8" t="s">
        <v>31</v>
      </c>
      <c r="N53" s="386"/>
      <c r="O53" s="386"/>
      <c r="P53" s="386"/>
      <c r="Q53" s="386"/>
      <c r="R53" s="386"/>
      <c r="S53" s="9"/>
      <c r="T53" s="14"/>
      <c r="U53" s="8"/>
      <c r="V53" s="8" t="s">
        <v>294</v>
      </c>
      <c r="W53" s="8" t="s">
        <v>295</v>
      </c>
      <c r="X53" s="8" t="s">
        <v>296</v>
      </c>
      <c r="Y53" s="9">
        <v>83</v>
      </c>
      <c r="Z53" s="13">
        <v>0</v>
      </c>
      <c r="AA53" s="9">
        <v>115</v>
      </c>
      <c r="AB53" s="13">
        <v>28.7</v>
      </c>
    </row>
    <row r="54" spans="1:28" x14ac:dyDescent="0.25">
      <c r="A54" s="460"/>
      <c r="B54" s="8" t="s">
        <v>153</v>
      </c>
      <c r="C54" s="9">
        <v>11</v>
      </c>
      <c r="D54" s="10">
        <v>56510513</v>
      </c>
      <c r="E54" s="9" t="s">
        <v>43</v>
      </c>
      <c r="F54" s="9" t="s">
        <v>24</v>
      </c>
      <c r="G54" s="14" t="s">
        <v>25</v>
      </c>
      <c r="H54" s="8" t="s">
        <v>26</v>
      </c>
      <c r="I54" s="11" t="s">
        <v>297</v>
      </c>
      <c r="J54" s="12" t="s">
        <v>298</v>
      </c>
      <c r="K54" s="14" t="s">
        <v>29</v>
      </c>
      <c r="L54" s="8" t="s">
        <v>30</v>
      </c>
      <c r="M54" s="8" t="s">
        <v>56</v>
      </c>
      <c r="N54" s="386"/>
      <c r="O54" s="386"/>
      <c r="P54" s="386"/>
      <c r="Q54" s="386"/>
      <c r="R54" s="386"/>
      <c r="S54" s="9"/>
      <c r="T54" s="14"/>
      <c r="U54" s="8"/>
      <c r="V54" s="8" t="s">
        <v>299</v>
      </c>
      <c r="W54" s="8" t="s">
        <v>300</v>
      </c>
      <c r="X54" s="8" t="s">
        <v>301</v>
      </c>
      <c r="Y54" s="9">
        <v>105</v>
      </c>
      <c r="Z54" s="13">
        <v>0</v>
      </c>
      <c r="AA54" s="9">
        <v>134</v>
      </c>
      <c r="AB54" s="13">
        <v>29.1</v>
      </c>
    </row>
    <row r="55" spans="1:28" x14ac:dyDescent="0.25">
      <c r="A55" s="460"/>
      <c r="B55" s="8" t="s">
        <v>153</v>
      </c>
      <c r="C55" s="9">
        <v>12</v>
      </c>
      <c r="D55" s="10">
        <v>85521678</v>
      </c>
      <c r="E55" s="9" t="s">
        <v>23</v>
      </c>
      <c r="F55" s="9" t="s">
        <v>35</v>
      </c>
      <c r="G55" s="14" t="s">
        <v>25</v>
      </c>
      <c r="H55" s="8" t="s">
        <v>26</v>
      </c>
      <c r="I55" s="11" t="s">
        <v>302</v>
      </c>
      <c r="J55" s="12" t="s">
        <v>303</v>
      </c>
      <c r="K55" s="14" t="s">
        <v>29</v>
      </c>
      <c r="L55" s="8" t="s">
        <v>30</v>
      </c>
      <c r="M55" s="8" t="s">
        <v>51</v>
      </c>
      <c r="N55" s="386"/>
      <c r="O55" s="386"/>
      <c r="P55" s="386"/>
      <c r="Q55" s="386"/>
      <c r="R55" s="386"/>
      <c r="S55" s="9"/>
      <c r="T55" s="14"/>
      <c r="U55" s="8"/>
      <c r="V55" s="8" t="s">
        <v>110</v>
      </c>
      <c r="W55" s="8" t="s">
        <v>304</v>
      </c>
      <c r="X55" s="8" t="s">
        <v>305</v>
      </c>
      <c r="Y55" s="9">
        <v>93</v>
      </c>
      <c r="Z55" s="13">
        <v>0</v>
      </c>
      <c r="AA55" s="9">
        <v>77</v>
      </c>
      <c r="AB55" s="13">
        <v>25.97</v>
      </c>
    </row>
    <row r="56" spans="1:28" x14ac:dyDescent="0.25">
      <c r="A56" s="460"/>
      <c r="B56" s="8" t="s">
        <v>153</v>
      </c>
      <c r="C56" s="9">
        <v>13</v>
      </c>
      <c r="D56" s="10">
        <v>20717145</v>
      </c>
      <c r="E56" s="9" t="s">
        <v>43</v>
      </c>
      <c r="F56" s="9" t="s">
        <v>24</v>
      </c>
      <c r="G56" s="14" t="s">
        <v>25</v>
      </c>
      <c r="H56" s="8" t="s">
        <v>26</v>
      </c>
      <c r="I56" s="11" t="s">
        <v>306</v>
      </c>
      <c r="J56" s="12" t="s">
        <v>307</v>
      </c>
      <c r="K56" s="14" t="s">
        <v>29</v>
      </c>
      <c r="L56" s="8" t="s">
        <v>30</v>
      </c>
      <c r="M56" s="8" t="s">
        <v>56</v>
      </c>
      <c r="N56" s="386"/>
      <c r="O56" s="386"/>
      <c r="P56" s="386"/>
      <c r="Q56" s="386"/>
      <c r="R56" s="386"/>
      <c r="S56" s="9"/>
      <c r="T56" s="14"/>
      <c r="U56" s="8"/>
      <c r="V56" s="8" t="s">
        <v>308</v>
      </c>
      <c r="W56" s="8" t="s">
        <v>309</v>
      </c>
      <c r="X56" s="8" t="s">
        <v>310</v>
      </c>
      <c r="Y56" s="9">
        <v>67</v>
      </c>
      <c r="Z56" s="13">
        <v>0</v>
      </c>
      <c r="AA56" s="9">
        <v>61</v>
      </c>
      <c r="AB56" s="13">
        <v>40.98</v>
      </c>
    </row>
    <row r="57" spans="1:28" x14ac:dyDescent="0.25">
      <c r="A57" s="460"/>
      <c r="B57" s="8" t="s">
        <v>153</v>
      </c>
      <c r="C57" s="9">
        <v>13</v>
      </c>
      <c r="D57" s="10">
        <v>28886174</v>
      </c>
      <c r="E57" s="9" t="s">
        <v>43</v>
      </c>
      <c r="F57" s="9" t="s">
        <v>24</v>
      </c>
      <c r="G57" s="14" t="s">
        <v>25</v>
      </c>
      <c r="H57" s="8" t="s">
        <v>26</v>
      </c>
      <c r="I57" s="11" t="s">
        <v>311</v>
      </c>
      <c r="J57" s="12" t="s">
        <v>312</v>
      </c>
      <c r="K57" s="14" t="s">
        <v>29</v>
      </c>
      <c r="L57" s="8" t="s">
        <v>30</v>
      </c>
      <c r="M57" s="8" t="s">
        <v>56</v>
      </c>
      <c r="N57" s="386"/>
      <c r="O57" s="386"/>
      <c r="P57" s="386"/>
      <c r="Q57" s="386"/>
      <c r="R57" s="386"/>
      <c r="S57" s="9"/>
      <c r="T57" s="14"/>
      <c r="U57" s="8"/>
      <c r="V57" s="8" t="s">
        <v>150</v>
      </c>
      <c r="W57" s="8" t="s">
        <v>313</v>
      </c>
      <c r="X57" s="8" t="s">
        <v>314</v>
      </c>
      <c r="Y57" s="9">
        <v>95</v>
      </c>
      <c r="Z57" s="13">
        <v>0</v>
      </c>
      <c r="AA57" s="9">
        <v>78</v>
      </c>
      <c r="AB57" s="13">
        <v>44.87</v>
      </c>
    </row>
    <row r="58" spans="1:28" x14ac:dyDescent="0.25">
      <c r="A58" s="460"/>
      <c r="B58" s="8" t="s">
        <v>153</v>
      </c>
      <c r="C58" s="9">
        <v>15</v>
      </c>
      <c r="D58" s="10">
        <v>77907522</v>
      </c>
      <c r="E58" s="9" t="s">
        <v>23</v>
      </c>
      <c r="F58" s="9" t="s">
        <v>43</v>
      </c>
      <c r="G58" s="14" t="s">
        <v>25</v>
      </c>
      <c r="H58" s="8" t="s">
        <v>26</v>
      </c>
      <c r="I58" s="11" t="s">
        <v>315</v>
      </c>
      <c r="J58" s="12" t="s">
        <v>316</v>
      </c>
      <c r="K58" s="14" t="s">
        <v>29</v>
      </c>
      <c r="L58" s="8" t="s">
        <v>39</v>
      </c>
      <c r="M58" s="8" t="s">
        <v>51</v>
      </c>
      <c r="N58" s="386"/>
      <c r="O58" s="386"/>
      <c r="P58" s="386"/>
      <c r="Q58" s="386"/>
      <c r="R58" s="386"/>
      <c r="S58" s="9"/>
      <c r="T58" s="14"/>
      <c r="U58" s="8"/>
      <c r="V58" s="8" t="s">
        <v>70</v>
      </c>
      <c r="W58" s="8" t="s">
        <v>317</v>
      </c>
      <c r="X58" s="8" t="s">
        <v>318</v>
      </c>
      <c r="Y58" s="9">
        <v>85</v>
      </c>
      <c r="Z58" s="13">
        <v>0</v>
      </c>
      <c r="AA58" s="9">
        <v>77</v>
      </c>
      <c r="AB58" s="13">
        <v>44.16</v>
      </c>
    </row>
    <row r="59" spans="1:28" x14ac:dyDescent="0.25">
      <c r="A59" s="460"/>
      <c r="B59" s="8" t="s">
        <v>153</v>
      </c>
      <c r="C59" s="9">
        <v>16</v>
      </c>
      <c r="D59" s="10">
        <v>27487864</v>
      </c>
      <c r="E59" s="9" t="s">
        <v>23</v>
      </c>
      <c r="F59" s="9" t="s">
        <v>24</v>
      </c>
      <c r="G59" s="14" t="s">
        <v>25</v>
      </c>
      <c r="H59" s="8" t="s">
        <v>26</v>
      </c>
      <c r="I59" s="11" t="s">
        <v>319</v>
      </c>
      <c r="J59" s="12" t="s">
        <v>320</v>
      </c>
      <c r="K59" s="14" t="s">
        <v>29</v>
      </c>
      <c r="L59" s="8" t="s">
        <v>30</v>
      </c>
      <c r="M59" s="8" t="s">
        <v>51</v>
      </c>
      <c r="N59" s="386">
        <v>369511756</v>
      </c>
      <c r="O59" s="386"/>
      <c r="P59" s="386" t="s">
        <v>761</v>
      </c>
      <c r="Q59" s="386" t="s">
        <v>4186</v>
      </c>
      <c r="R59" s="386" t="s">
        <v>4180</v>
      </c>
      <c r="S59" s="9"/>
      <c r="T59" s="14"/>
      <c r="U59" s="8"/>
      <c r="V59" s="8" t="s">
        <v>136</v>
      </c>
      <c r="W59" s="8" t="s">
        <v>321</v>
      </c>
      <c r="X59" s="8" t="s">
        <v>322</v>
      </c>
      <c r="Y59" s="9">
        <v>82</v>
      </c>
      <c r="Z59" s="13">
        <v>0</v>
      </c>
      <c r="AA59" s="9">
        <v>88</v>
      </c>
      <c r="AB59" s="13">
        <v>36.36</v>
      </c>
    </row>
    <row r="60" spans="1:28" x14ac:dyDescent="0.25">
      <c r="A60" s="460"/>
      <c r="B60" s="8" t="s">
        <v>153</v>
      </c>
      <c r="C60" s="9">
        <v>17</v>
      </c>
      <c r="D60" s="10">
        <v>7400729</v>
      </c>
      <c r="E60" s="9" t="s">
        <v>23</v>
      </c>
      <c r="F60" s="9" t="s">
        <v>24</v>
      </c>
      <c r="G60" s="14" t="s">
        <v>25</v>
      </c>
      <c r="H60" s="8" t="s">
        <v>26</v>
      </c>
      <c r="I60" s="11" t="s">
        <v>323</v>
      </c>
      <c r="J60" s="12" t="s">
        <v>324</v>
      </c>
      <c r="K60" s="14" t="s">
        <v>29</v>
      </c>
      <c r="L60" s="8"/>
      <c r="M60" s="8" t="s">
        <v>56</v>
      </c>
      <c r="N60" s="386">
        <v>2229198</v>
      </c>
      <c r="O60" s="386"/>
      <c r="P60" s="386"/>
      <c r="Q60" s="386"/>
      <c r="R60" s="386" t="s">
        <v>4181</v>
      </c>
      <c r="S60" s="9"/>
      <c r="T60" s="14"/>
      <c r="U60" s="8"/>
      <c r="V60" s="8" t="s">
        <v>104</v>
      </c>
      <c r="W60" s="8" t="s">
        <v>325</v>
      </c>
      <c r="X60" s="8" t="s">
        <v>326</v>
      </c>
      <c r="Y60" s="9">
        <v>87</v>
      </c>
      <c r="Z60" s="13">
        <v>0</v>
      </c>
      <c r="AA60" s="9">
        <v>65</v>
      </c>
      <c r="AB60" s="13">
        <v>47.69</v>
      </c>
    </row>
    <row r="61" spans="1:28" x14ac:dyDescent="0.25">
      <c r="A61" s="460"/>
      <c r="B61" s="8" t="s">
        <v>153</v>
      </c>
      <c r="C61" s="9">
        <v>17</v>
      </c>
      <c r="D61" s="10">
        <v>72875657</v>
      </c>
      <c r="E61" s="9" t="s">
        <v>23</v>
      </c>
      <c r="F61" s="9" t="s">
        <v>24</v>
      </c>
      <c r="G61" s="14" t="s">
        <v>25</v>
      </c>
      <c r="H61" s="8" t="s">
        <v>26</v>
      </c>
      <c r="I61" s="11" t="s">
        <v>327</v>
      </c>
      <c r="J61" s="12" t="s">
        <v>328</v>
      </c>
      <c r="K61" s="14" t="s">
        <v>29</v>
      </c>
      <c r="L61" s="8" t="s">
        <v>30</v>
      </c>
      <c r="M61" s="8"/>
      <c r="N61" s="386">
        <v>766378328</v>
      </c>
      <c r="O61" s="386"/>
      <c r="P61" s="386"/>
      <c r="Q61" s="386" t="s">
        <v>4181</v>
      </c>
      <c r="R61" s="386" t="s">
        <v>4181</v>
      </c>
      <c r="S61" s="9"/>
      <c r="T61" s="14"/>
      <c r="U61" s="8"/>
      <c r="V61" s="8" t="s">
        <v>82</v>
      </c>
      <c r="W61" s="8" t="s">
        <v>329</v>
      </c>
      <c r="X61" s="8" t="s">
        <v>330</v>
      </c>
      <c r="Y61" s="9">
        <v>122</v>
      </c>
      <c r="Z61" s="13">
        <v>0</v>
      </c>
      <c r="AA61" s="9">
        <v>207</v>
      </c>
      <c r="AB61" s="13">
        <v>21.26</v>
      </c>
    </row>
    <row r="62" spans="1:28" x14ac:dyDescent="0.25">
      <c r="A62" s="460"/>
      <c r="B62" s="8" t="s">
        <v>153</v>
      </c>
      <c r="C62" s="9">
        <v>17</v>
      </c>
      <c r="D62" s="10">
        <v>76471509</v>
      </c>
      <c r="E62" s="9" t="s">
        <v>43</v>
      </c>
      <c r="F62" s="9" t="s">
        <v>23</v>
      </c>
      <c r="G62" s="14" t="s">
        <v>25</v>
      </c>
      <c r="H62" s="8" t="s">
        <v>26</v>
      </c>
      <c r="I62" s="11" t="s">
        <v>331</v>
      </c>
      <c r="J62" s="12" t="s">
        <v>332</v>
      </c>
      <c r="K62" s="14" t="s">
        <v>29</v>
      </c>
      <c r="L62" s="8"/>
      <c r="M62" s="8"/>
      <c r="N62" s="386"/>
      <c r="O62" s="386"/>
      <c r="P62" s="386"/>
      <c r="Q62" s="386"/>
      <c r="R62" s="386"/>
      <c r="S62" s="9"/>
      <c r="T62" s="14"/>
      <c r="U62" s="8"/>
      <c r="V62" s="8" t="s">
        <v>333</v>
      </c>
      <c r="W62" s="8" t="s">
        <v>334</v>
      </c>
      <c r="X62" s="8" t="s">
        <v>335</v>
      </c>
      <c r="Y62" s="9">
        <v>114</v>
      </c>
      <c r="Z62" s="13">
        <v>1</v>
      </c>
      <c r="AA62" s="9">
        <v>194</v>
      </c>
      <c r="AB62" s="13">
        <v>16.489999999999998</v>
      </c>
    </row>
    <row r="63" spans="1:28" x14ac:dyDescent="0.25">
      <c r="A63" s="460"/>
      <c r="B63" s="8" t="s">
        <v>153</v>
      </c>
      <c r="C63" s="9">
        <v>17</v>
      </c>
      <c r="D63" s="10">
        <v>78111969</v>
      </c>
      <c r="E63" s="9" t="s">
        <v>43</v>
      </c>
      <c r="F63" s="9" t="s">
        <v>35</v>
      </c>
      <c r="G63" s="14" t="s">
        <v>25</v>
      </c>
      <c r="H63" s="8" t="s">
        <v>26</v>
      </c>
      <c r="I63" s="11" t="s">
        <v>336</v>
      </c>
      <c r="J63" s="12" t="s">
        <v>337</v>
      </c>
      <c r="K63" s="14" t="s">
        <v>29</v>
      </c>
      <c r="L63" s="8" t="s">
        <v>30</v>
      </c>
      <c r="M63" s="8" t="s">
        <v>51</v>
      </c>
      <c r="N63" s="386">
        <v>751807674</v>
      </c>
      <c r="O63" s="386"/>
      <c r="P63" s="386"/>
      <c r="Q63" s="386" t="s">
        <v>4181</v>
      </c>
      <c r="R63" s="386"/>
      <c r="S63" s="9"/>
      <c r="T63" s="14"/>
      <c r="U63" s="8"/>
      <c r="V63" s="8" t="s">
        <v>333</v>
      </c>
      <c r="W63" s="8" t="s">
        <v>338</v>
      </c>
      <c r="X63" s="8" t="s">
        <v>339</v>
      </c>
      <c r="Y63" s="9">
        <v>100</v>
      </c>
      <c r="Z63" s="13">
        <v>0</v>
      </c>
      <c r="AA63" s="9">
        <v>193</v>
      </c>
      <c r="AB63" s="13">
        <v>20.73</v>
      </c>
    </row>
    <row r="64" spans="1:28" x14ac:dyDescent="0.25">
      <c r="A64" s="460"/>
      <c r="B64" s="8" t="s">
        <v>153</v>
      </c>
      <c r="C64" s="9">
        <v>17</v>
      </c>
      <c r="D64" s="10">
        <v>80676812</v>
      </c>
      <c r="E64" s="9" t="s">
        <v>35</v>
      </c>
      <c r="F64" s="9" t="s">
        <v>23</v>
      </c>
      <c r="G64" s="14" t="s">
        <v>25</v>
      </c>
      <c r="H64" s="8" t="s">
        <v>73</v>
      </c>
      <c r="I64" s="11" t="s">
        <v>340</v>
      </c>
      <c r="J64" s="12" t="s">
        <v>341</v>
      </c>
      <c r="K64" s="14" t="s">
        <v>29</v>
      </c>
      <c r="L64" s="8" t="s">
        <v>30</v>
      </c>
      <c r="M64" s="8" t="s">
        <v>56</v>
      </c>
      <c r="N64" s="386">
        <v>1305187493</v>
      </c>
      <c r="O64" s="386"/>
      <c r="P64" s="386"/>
      <c r="Q64" s="386"/>
      <c r="R64" s="386"/>
      <c r="S64" s="9"/>
      <c r="T64" s="14"/>
      <c r="U64" s="8"/>
      <c r="V64" s="8" t="s">
        <v>333</v>
      </c>
      <c r="W64" s="8" t="s">
        <v>342</v>
      </c>
      <c r="X64" s="8" t="s">
        <v>343</v>
      </c>
      <c r="Y64" s="9">
        <v>115</v>
      </c>
      <c r="Z64" s="13">
        <v>0</v>
      </c>
      <c r="AA64" s="9">
        <v>181</v>
      </c>
      <c r="AB64" s="13">
        <v>22.65</v>
      </c>
    </row>
    <row r="65" spans="1:96" ht="45" x14ac:dyDescent="0.25">
      <c r="A65" s="460"/>
      <c r="B65" s="8" t="s">
        <v>153</v>
      </c>
      <c r="C65" s="9">
        <v>18</v>
      </c>
      <c r="D65" s="10">
        <v>3534385</v>
      </c>
      <c r="E65" s="9" t="s">
        <v>43</v>
      </c>
      <c r="F65" s="9" t="s">
        <v>24</v>
      </c>
      <c r="G65" s="14" t="s">
        <v>25</v>
      </c>
      <c r="H65" s="8" t="s">
        <v>26</v>
      </c>
      <c r="I65" s="11" t="s">
        <v>344</v>
      </c>
      <c r="J65" s="12" t="s">
        <v>345</v>
      </c>
      <c r="K65" s="14" t="s">
        <v>29</v>
      </c>
      <c r="L65" s="8" t="s">
        <v>39</v>
      </c>
      <c r="M65" s="8" t="s">
        <v>56</v>
      </c>
      <c r="N65" s="386"/>
      <c r="O65" s="386"/>
      <c r="P65" s="386"/>
      <c r="Q65" s="386"/>
      <c r="R65" s="386"/>
      <c r="S65" s="9"/>
      <c r="T65" s="14"/>
      <c r="U65" s="8"/>
      <c r="V65" s="8" t="s">
        <v>346</v>
      </c>
      <c r="W65" s="8" t="s">
        <v>347</v>
      </c>
      <c r="X65" s="8" t="s">
        <v>348</v>
      </c>
      <c r="Y65" s="9">
        <v>58</v>
      </c>
      <c r="Z65" s="13">
        <v>0</v>
      </c>
      <c r="AA65" s="9">
        <v>102</v>
      </c>
      <c r="AB65" s="13">
        <v>20.59</v>
      </c>
    </row>
    <row r="66" spans="1:96" x14ac:dyDescent="0.25">
      <c r="A66" s="460"/>
      <c r="B66" s="8" t="s">
        <v>153</v>
      </c>
      <c r="C66" s="9">
        <v>18</v>
      </c>
      <c r="D66" s="10">
        <v>23612494</v>
      </c>
      <c r="E66" s="9" t="s">
        <v>43</v>
      </c>
      <c r="F66" s="9" t="s">
        <v>24</v>
      </c>
      <c r="G66" s="14" t="s">
        <v>25</v>
      </c>
      <c r="H66" s="8" t="s">
        <v>26</v>
      </c>
      <c r="I66" s="11" t="s">
        <v>349</v>
      </c>
      <c r="J66" s="12" t="s">
        <v>350</v>
      </c>
      <c r="K66" s="14" t="s">
        <v>29</v>
      </c>
      <c r="L66" s="8" t="s">
        <v>30</v>
      </c>
      <c r="M66" s="8" t="s">
        <v>56</v>
      </c>
      <c r="N66" s="386"/>
      <c r="O66" s="386"/>
      <c r="P66" s="386"/>
      <c r="Q66" s="386"/>
      <c r="R66" s="386"/>
      <c r="S66" s="9"/>
      <c r="T66" s="14"/>
      <c r="U66" s="8"/>
      <c r="V66" s="8" t="s">
        <v>180</v>
      </c>
      <c r="W66" s="8" t="s">
        <v>351</v>
      </c>
      <c r="X66" s="8" t="s">
        <v>352</v>
      </c>
      <c r="Y66" s="9">
        <v>89</v>
      </c>
      <c r="Z66" s="13">
        <v>0</v>
      </c>
      <c r="AA66" s="9">
        <v>109</v>
      </c>
      <c r="AB66" s="13">
        <v>25.69</v>
      </c>
    </row>
    <row r="67" spans="1:96" x14ac:dyDescent="0.25">
      <c r="A67" s="460"/>
      <c r="B67" s="8" t="s">
        <v>153</v>
      </c>
      <c r="C67" s="9">
        <v>18</v>
      </c>
      <c r="D67" s="10">
        <v>42530560</v>
      </c>
      <c r="E67" s="9" t="s">
        <v>35</v>
      </c>
      <c r="F67" s="9" t="s">
        <v>43</v>
      </c>
      <c r="G67" s="14" t="s">
        <v>25</v>
      </c>
      <c r="H67" s="8" t="s">
        <v>26</v>
      </c>
      <c r="I67" s="11" t="s">
        <v>353</v>
      </c>
      <c r="J67" s="12" t="s">
        <v>354</v>
      </c>
      <c r="K67" s="14" t="s">
        <v>29</v>
      </c>
      <c r="L67" s="8" t="s">
        <v>39</v>
      </c>
      <c r="M67" s="8" t="s">
        <v>31</v>
      </c>
      <c r="N67" s="386">
        <v>986981842</v>
      </c>
      <c r="O67" s="386"/>
      <c r="P67" s="386"/>
      <c r="Q67" s="386"/>
      <c r="R67" s="386"/>
      <c r="S67" s="9"/>
      <c r="T67" s="14"/>
      <c r="U67" s="8"/>
      <c r="V67" s="8" t="s">
        <v>52</v>
      </c>
      <c r="W67" s="8" t="s">
        <v>355</v>
      </c>
      <c r="X67" s="8" t="s">
        <v>356</v>
      </c>
      <c r="Y67" s="9">
        <v>85</v>
      </c>
      <c r="Z67" s="13">
        <v>0</v>
      </c>
      <c r="AA67" s="9">
        <v>103</v>
      </c>
      <c r="AB67" s="13">
        <v>58.25</v>
      </c>
    </row>
    <row r="68" spans="1:96" x14ac:dyDescent="0.25">
      <c r="A68" s="460"/>
      <c r="B68" s="8" t="s">
        <v>153</v>
      </c>
      <c r="C68" s="9">
        <v>19</v>
      </c>
      <c r="D68" s="10">
        <v>9084167</v>
      </c>
      <c r="E68" s="9" t="s">
        <v>23</v>
      </c>
      <c r="F68" s="9" t="s">
        <v>24</v>
      </c>
      <c r="G68" s="14" t="s">
        <v>25</v>
      </c>
      <c r="H68" s="8" t="s">
        <v>26</v>
      </c>
      <c r="I68" s="11" t="s">
        <v>357</v>
      </c>
      <c r="J68" s="12" t="s">
        <v>358</v>
      </c>
      <c r="K68" s="14" t="s">
        <v>29</v>
      </c>
      <c r="L68" s="8" t="s">
        <v>30</v>
      </c>
      <c r="M68" s="8" t="s">
        <v>56</v>
      </c>
      <c r="N68" s="386"/>
      <c r="O68" s="386"/>
      <c r="P68" s="386"/>
      <c r="Q68" s="386"/>
      <c r="R68" s="386"/>
      <c r="S68" s="9"/>
      <c r="T68" s="14"/>
      <c r="U68" s="8"/>
      <c r="V68" s="8" t="s">
        <v>32</v>
      </c>
      <c r="W68" s="8" t="s">
        <v>359</v>
      </c>
      <c r="X68" s="8" t="s">
        <v>360</v>
      </c>
      <c r="Y68" s="9">
        <v>61</v>
      </c>
      <c r="Z68" s="13">
        <v>0</v>
      </c>
      <c r="AA68" s="9">
        <v>79</v>
      </c>
      <c r="AB68" s="13">
        <v>40.51</v>
      </c>
    </row>
    <row r="69" spans="1:96" x14ac:dyDescent="0.25">
      <c r="A69" s="460"/>
      <c r="B69" s="8" t="s">
        <v>153</v>
      </c>
      <c r="C69" s="9">
        <v>19</v>
      </c>
      <c r="D69" s="10">
        <v>58386147</v>
      </c>
      <c r="E69" s="9" t="s">
        <v>35</v>
      </c>
      <c r="F69" s="9" t="s">
        <v>23</v>
      </c>
      <c r="G69" s="14" t="s">
        <v>25</v>
      </c>
      <c r="H69" s="8" t="s">
        <v>26</v>
      </c>
      <c r="I69" s="11" t="s">
        <v>361</v>
      </c>
      <c r="J69" s="12" t="s">
        <v>362</v>
      </c>
      <c r="K69" s="14" t="s">
        <v>29</v>
      </c>
      <c r="L69" s="8" t="s">
        <v>39</v>
      </c>
      <c r="M69" s="8" t="s">
        <v>51</v>
      </c>
      <c r="N69" s="386"/>
      <c r="O69" s="386"/>
      <c r="P69" s="386"/>
      <c r="Q69" s="386"/>
      <c r="R69" s="386"/>
      <c r="S69" s="9"/>
      <c r="T69" s="14"/>
      <c r="U69" s="8"/>
      <c r="V69" s="8" t="s">
        <v>363</v>
      </c>
      <c r="W69" s="8" t="s">
        <v>364</v>
      </c>
      <c r="X69" s="8" t="s">
        <v>365</v>
      </c>
      <c r="Y69" s="9">
        <v>65</v>
      </c>
      <c r="Z69" s="13">
        <v>0</v>
      </c>
      <c r="AA69" s="9">
        <v>79</v>
      </c>
      <c r="AB69" s="13">
        <v>56.96</v>
      </c>
    </row>
    <row r="70" spans="1:96" x14ac:dyDescent="0.25">
      <c r="A70" s="460"/>
      <c r="B70" s="8" t="s">
        <v>153</v>
      </c>
      <c r="C70" s="9">
        <v>19</v>
      </c>
      <c r="D70" s="10">
        <v>59022994</v>
      </c>
      <c r="E70" s="9" t="s">
        <v>23</v>
      </c>
      <c r="F70" s="9" t="s">
        <v>43</v>
      </c>
      <c r="G70" s="14" t="s">
        <v>25</v>
      </c>
      <c r="H70" s="8" t="s">
        <v>26</v>
      </c>
      <c r="I70" s="11" t="s">
        <v>366</v>
      </c>
      <c r="J70" s="12" t="s">
        <v>367</v>
      </c>
      <c r="K70" s="14" t="s">
        <v>29</v>
      </c>
      <c r="L70" s="8" t="s">
        <v>30</v>
      </c>
      <c r="M70" s="8" t="s">
        <v>31</v>
      </c>
      <c r="N70" s="386"/>
      <c r="O70" s="386"/>
      <c r="P70" s="386"/>
      <c r="Q70" s="386"/>
      <c r="R70" s="386"/>
      <c r="S70" s="9"/>
      <c r="T70" s="14"/>
      <c r="U70" s="8"/>
      <c r="V70" s="8" t="s">
        <v>363</v>
      </c>
      <c r="W70" s="8" t="s">
        <v>368</v>
      </c>
      <c r="X70" s="8" t="s">
        <v>369</v>
      </c>
      <c r="Y70" s="9">
        <v>53</v>
      </c>
      <c r="Z70" s="13">
        <v>0</v>
      </c>
      <c r="AA70" s="9">
        <v>103</v>
      </c>
      <c r="AB70" s="13">
        <v>44.66</v>
      </c>
    </row>
    <row r="71" spans="1:96" x14ac:dyDescent="0.25">
      <c r="A71" s="460"/>
      <c r="B71" s="8" t="s">
        <v>153</v>
      </c>
      <c r="C71" s="9">
        <v>20</v>
      </c>
      <c r="D71" s="10">
        <v>31973554</v>
      </c>
      <c r="E71" s="9" t="s">
        <v>24</v>
      </c>
      <c r="F71" s="9" t="s">
        <v>23</v>
      </c>
      <c r="G71" s="14" t="s">
        <v>25</v>
      </c>
      <c r="H71" s="8" t="s">
        <v>26</v>
      </c>
      <c r="I71" s="11" t="s">
        <v>370</v>
      </c>
      <c r="J71" s="12" t="s">
        <v>371</v>
      </c>
      <c r="K71" s="14" t="s">
        <v>29</v>
      </c>
      <c r="L71" s="8" t="s">
        <v>30</v>
      </c>
      <c r="M71" s="8" t="s">
        <v>56</v>
      </c>
      <c r="N71" s="386"/>
      <c r="O71" s="386"/>
      <c r="P71" s="386"/>
      <c r="Q71" s="386"/>
      <c r="R71" s="386"/>
      <c r="S71" s="9"/>
      <c r="T71" s="14"/>
      <c r="U71" s="8"/>
      <c r="V71" s="8" t="s">
        <v>259</v>
      </c>
      <c r="W71" s="8" t="s">
        <v>372</v>
      </c>
      <c r="X71" s="8" t="s">
        <v>373</v>
      </c>
      <c r="Y71" s="9">
        <v>85</v>
      </c>
      <c r="Z71" s="13">
        <v>0</v>
      </c>
      <c r="AA71" s="9">
        <v>95</v>
      </c>
      <c r="AB71" s="13">
        <v>42.11</v>
      </c>
    </row>
    <row r="72" spans="1:96" x14ac:dyDescent="0.25">
      <c r="A72" s="460"/>
      <c r="B72" s="8" t="s">
        <v>153</v>
      </c>
      <c r="C72" s="9">
        <v>21</v>
      </c>
      <c r="D72" s="10">
        <v>45833869</v>
      </c>
      <c r="E72" s="9" t="s">
        <v>24</v>
      </c>
      <c r="F72" s="9" t="s">
        <v>43</v>
      </c>
      <c r="G72" s="14" t="s">
        <v>25</v>
      </c>
      <c r="H72" s="8" t="s">
        <v>73</v>
      </c>
      <c r="I72" s="11" t="s">
        <v>374</v>
      </c>
      <c r="J72" s="12" t="s">
        <v>375</v>
      </c>
      <c r="K72" s="14" t="s">
        <v>29</v>
      </c>
      <c r="L72" s="8"/>
      <c r="M72" s="8" t="s">
        <v>56</v>
      </c>
      <c r="N72" s="386"/>
      <c r="O72" s="386"/>
      <c r="P72" s="386"/>
      <c r="Q72" s="386"/>
      <c r="R72" s="386"/>
      <c r="S72" s="9"/>
      <c r="T72" s="14"/>
      <c r="U72" s="8"/>
      <c r="V72" s="8" t="s">
        <v>376</v>
      </c>
      <c r="W72" s="8" t="s">
        <v>377</v>
      </c>
      <c r="X72" s="8" t="s">
        <v>378</v>
      </c>
      <c r="Y72" s="9">
        <v>58</v>
      </c>
      <c r="Z72" s="13">
        <v>0</v>
      </c>
      <c r="AA72" s="9">
        <v>105</v>
      </c>
      <c r="AB72" s="13">
        <v>32.380000000000003</v>
      </c>
    </row>
    <row r="73" spans="1:96" x14ac:dyDescent="0.25">
      <c r="A73" s="460"/>
      <c r="B73" s="8" t="s">
        <v>153</v>
      </c>
      <c r="C73" s="9" t="s">
        <v>379</v>
      </c>
      <c r="D73" s="10">
        <v>41007731</v>
      </c>
      <c r="E73" s="9" t="s">
        <v>24</v>
      </c>
      <c r="F73" s="9" t="s">
        <v>43</v>
      </c>
      <c r="G73" s="14" t="s">
        <v>25</v>
      </c>
      <c r="H73" s="8" t="s">
        <v>26</v>
      </c>
      <c r="I73" s="11" t="s">
        <v>380</v>
      </c>
      <c r="J73" s="12" t="s">
        <v>381</v>
      </c>
      <c r="K73" s="14" t="s">
        <v>29</v>
      </c>
      <c r="L73" s="8" t="s">
        <v>30</v>
      </c>
      <c r="M73" s="8" t="s">
        <v>56</v>
      </c>
      <c r="N73" s="386"/>
      <c r="O73" s="386"/>
      <c r="P73" s="386"/>
      <c r="Q73" s="386"/>
      <c r="R73" s="386"/>
      <c r="S73" s="9"/>
      <c r="T73" s="14"/>
      <c r="U73" s="8"/>
      <c r="V73" s="8" t="s">
        <v>382</v>
      </c>
      <c r="W73" s="8" t="s">
        <v>383</v>
      </c>
      <c r="X73" s="8" t="s">
        <v>384</v>
      </c>
      <c r="Y73" s="9">
        <v>79</v>
      </c>
      <c r="Z73" s="13">
        <v>1</v>
      </c>
      <c r="AA73" s="9">
        <v>43</v>
      </c>
      <c r="AB73" s="13">
        <v>67.44</v>
      </c>
    </row>
    <row r="74" spans="1:96" x14ac:dyDescent="0.25">
      <c r="A74" s="460"/>
      <c r="B74" s="8" t="s">
        <v>153</v>
      </c>
      <c r="C74" s="9" t="s">
        <v>379</v>
      </c>
      <c r="D74" s="10">
        <v>47101063</v>
      </c>
      <c r="E74" s="9" t="s">
        <v>43</v>
      </c>
      <c r="F74" s="9" t="s">
        <v>23</v>
      </c>
      <c r="G74" s="14" t="s">
        <v>25</v>
      </c>
      <c r="H74" s="8" t="s">
        <v>26</v>
      </c>
      <c r="I74" s="11" t="s">
        <v>385</v>
      </c>
      <c r="J74" s="12" t="s">
        <v>386</v>
      </c>
      <c r="K74" s="14" t="s">
        <v>29</v>
      </c>
      <c r="L74" s="8" t="s">
        <v>39</v>
      </c>
      <c r="M74" s="8" t="s">
        <v>51</v>
      </c>
      <c r="N74" s="386"/>
      <c r="O74" s="386"/>
      <c r="P74" s="386"/>
      <c r="Q74" s="386"/>
      <c r="R74" s="386"/>
      <c r="S74" s="9"/>
      <c r="T74" s="14"/>
      <c r="U74" s="8"/>
      <c r="V74" s="8" t="s">
        <v>76</v>
      </c>
      <c r="W74" s="8" t="s">
        <v>387</v>
      </c>
      <c r="X74" s="8" t="s">
        <v>388</v>
      </c>
      <c r="Y74" s="9">
        <v>54</v>
      </c>
      <c r="Z74" s="13">
        <v>0</v>
      </c>
      <c r="AA74" s="9">
        <v>47</v>
      </c>
      <c r="AB74" s="13">
        <v>80.849999999999994</v>
      </c>
    </row>
    <row r="75" spans="1:96" s="412" customFormat="1" ht="15.75" thickBot="1" x14ac:dyDescent="0.3">
      <c r="A75" s="460"/>
      <c r="B75" s="166" t="s">
        <v>153</v>
      </c>
      <c r="C75" s="164" t="s">
        <v>379</v>
      </c>
      <c r="D75" s="408">
        <v>71521899</v>
      </c>
      <c r="E75" s="164" t="s">
        <v>43</v>
      </c>
      <c r="F75" s="164" t="s">
        <v>24</v>
      </c>
      <c r="G75" s="163" t="s">
        <v>25</v>
      </c>
      <c r="H75" s="166" t="s">
        <v>26</v>
      </c>
      <c r="I75" s="318" t="s">
        <v>389</v>
      </c>
      <c r="J75" s="409" t="s">
        <v>390</v>
      </c>
      <c r="K75" s="163" t="s">
        <v>29</v>
      </c>
      <c r="L75" s="166" t="s">
        <v>39</v>
      </c>
      <c r="M75" s="166" t="s">
        <v>51</v>
      </c>
      <c r="N75" s="410"/>
      <c r="O75" s="410"/>
      <c r="P75" s="410"/>
      <c r="Q75" s="410"/>
      <c r="R75" s="410"/>
      <c r="S75" s="164"/>
      <c r="T75" s="163"/>
      <c r="U75" s="166"/>
      <c r="V75" s="166" t="s">
        <v>391</v>
      </c>
      <c r="W75" s="166" t="s">
        <v>392</v>
      </c>
      <c r="X75" s="166" t="s">
        <v>393</v>
      </c>
      <c r="Y75" s="164">
        <v>51</v>
      </c>
      <c r="Z75" s="411">
        <v>0</v>
      </c>
      <c r="AA75" s="164">
        <v>52</v>
      </c>
      <c r="AB75" s="411">
        <v>69.23</v>
      </c>
      <c r="AC75" s="338"/>
      <c r="AD75" s="338"/>
      <c r="AE75" s="338"/>
      <c r="AF75" s="338"/>
      <c r="AG75" s="338"/>
      <c r="AH75" s="338"/>
      <c r="AI75" s="338"/>
      <c r="AJ75" s="338"/>
      <c r="AK75" s="338"/>
      <c r="AL75" s="338"/>
      <c r="AM75" s="338"/>
      <c r="AN75" s="338"/>
      <c r="AO75" s="338"/>
      <c r="AP75" s="338"/>
      <c r="AQ75" s="338"/>
      <c r="AR75" s="338"/>
      <c r="AS75" s="338"/>
      <c r="AT75" s="338"/>
      <c r="AU75" s="338"/>
      <c r="AV75" s="338"/>
      <c r="AW75" s="338"/>
      <c r="AX75" s="338"/>
      <c r="AY75" s="338"/>
      <c r="AZ75" s="338"/>
      <c r="BA75" s="338"/>
      <c r="BB75" s="338"/>
      <c r="BC75" s="338"/>
      <c r="BD75" s="338"/>
      <c r="BE75" s="338"/>
      <c r="BF75" s="338"/>
      <c r="BG75" s="338"/>
      <c r="BH75" s="338"/>
      <c r="BI75" s="338"/>
      <c r="BJ75" s="338"/>
      <c r="BK75" s="338"/>
      <c r="BL75" s="338"/>
      <c r="BM75" s="338"/>
      <c r="BN75" s="338"/>
      <c r="BO75" s="338"/>
      <c r="BP75" s="338"/>
      <c r="BQ75" s="338"/>
      <c r="BR75" s="338"/>
      <c r="BS75" s="338"/>
      <c r="BT75" s="338"/>
      <c r="BU75" s="338"/>
      <c r="BV75" s="338"/>
      <c r="BW75" s="338"/>
      <c r="BX75" s="338"/>
      <c r="BY75" s="338"/>
      <c r="BZ75" s="338"/>
      <c r="CA75" s="338"/>
      <c r="CB75" s="338"/>
      <c r="CC75" s="338"/>
      <c r="CD75" s="338"/>
      <c r="CE75" s="338"/>
      <c r="CF75" s="338"/>
      <c r="CG75" s="338"/>
      <c r="CH75" s="338"/>
      <c r="CI75" s="338"/>
      <c r="CJ75" s="338"/>
      <c r="CK75" s="338"/>
      <c r="CL75" s="338"/>
      <c r="CM75" s="338"/>
      <c r="CN75" s="338"/>
      <c r="CO75" s="338"/>
      <c r="CP75" s="338"/>
      <c r="CQ75" s="338"/>
      <c r="CR75" s="338"/>
    </row>
    <row r="76" spans="1:96" s="387" customFormat="1" ht="15" customHeight="1" x14ac:dyDescent="0.25">
      <c r="A76" s="460" t="s">
        <v>4147</v>
      </c>
      <c r="B76" s="365" t="s">
        <v>22</v>
      </c>
      <c r="C76" s="15">
        <v>2</v>
      </c>
      <c r="D76" s="16">
        <v>121742183</v>
      </c>
      <c r="E76" s="17" t="s">
        <v>23</v>
      </c>
      <c r="F76" s="17" t="s">
        <v>35</v>
      </c>
      <c r="G76" s="20" t="s">
        <v>25</v>
      </c>
      <c r="H76" s="16" t="s">
        <v>26</v>
      </c>
      <c r="I76" s="18" t="s">
        <v>394</v>
      </c>
      <c r="J76" s="16" t="s">
        <v>395</v>
      </c>
      <c r="K76" s="20" t="s">
        <v>29</v>
      </c>
      <c r="L76" s="16" t="s">
        <v>30</v>
      </c>
      <c r="M76" s="16" t="s">
        <v>51</v>
      </c>
      <c r="S76" s="168"/>
      <c r="T76" s="20"/>
      <c r="U76" s="16"/>
      <c r="V76" s="16" t="s">
        <v>396</v>
      </c>
      <c r="W76" s="16" t="s">
        <v>397</v>
      </c>
      <c r="X76" s="16" t="s">
        <v>398</v>
      </c>
      <c r="Y76" s="17">
        <v>72</v>
      </c>
      <c r="Z76" s="19">
        <v>19.440000000000001</v>
      </c>
      <c r="AA76" s="17">
        <v>71</v>
      </c>
      <c r="AB76" s="19">
        <v>0</v>
      </c>
    </row>
    <row r="77" spans="1:96" s="387" customFormat="1" ht="15" customHeight="1" x14ac:dyDescent="0.25">
      <c r="A77" s="460"/>
      <c r="B77" s="365" t="s">
        <v>22</v>
      </c>
      <c r="C77" s="15">
        <v>2</v>
      </c>
      <c r="D77" s="16">
        <v>208440025</v>
      </c>
      <c r="E77" s="17" t="s">
        <v>23</v>
      </c>
      <c r="F77" s="17" t="s">
        <v>43</v>
      </c>
      <c r="G77" s="20" t="s">
        <v>25</v>
      </c>
      <c r="H77" s="16" t="s">
        <v>73</v>
      </c>
      <c r="I77" s="18" t="s">
        <v>399</v>
      </c>
      <c r="J77" s="16" t="s">
        <v>400</v>
      </c>
      <c r="K77" s="20" t="s">
        <v>29</v>
      </c>
      <c r="L77" s="16" t="s">
        <v>30</v>
      </c>
      <c r="M77" s="16" t="s">
        <v>51</v>
      </c>
      <c r="S77" s="168"/>
      <c r="T77" s="289"/>
      <c r="U77" s="16"/>
      <c r="V77" s="16" t="s">
        <v>46</v>
      </c>
      <c r="W77" s="16" t="s">
        <v>401</v>
      </c>
      <c r="X77" s="16" t="s">
        <v>402</v>
      </c>
      <c r="Y77" s="17">
        <v>87</v>
      </c>
      <c r="Z77" s="19">
        <v>14.94</v>
      </c>
      <c r="AA77" s="17">
        <v>89</v>
      </c>
      <c r="AB77" s="19">
        <v>0</v>
      </c>
    </row>
    <row r="78" spans="1:96" s="387" customFormat="1" ht="15" customHeight="1" x14ac:dyDescent="0.25">
      <c r="A78" s="460"/>
      <c r="B78" s="365" t="s">
        <v>22</v>
      </c>
      <c r="C78" s="15">
        <v>7</v>
      </c>
      <c r="D78" s="16">
        <v>20762675</v>
      </c>
      <c r="E78" s="17" t="s">
        <v>43</v>
      </c>
      <c r="F78" s="17" t="s">
        <v>24</v>
      </c>
      <c r="G78" s="20" t="s">
        <v>25</v>
      </c>
      <c r="H78" s="16" t="s">
        <v>26</v>
      </c>
      <c r="I78" s="18" t="s">
        <v>403</v>
      </c>
      <c r="J78" s="16" t="s">
        <v>404</v>
      </c>
      <c r="K78" s="20" t="s">
        <v>29</v>
      </c>
      <c r="L78" s="16" t="s">
        <v>39</v>
      </c>
      <c r="M78" s="16" t="s">
        <v>51</v>
      </c>
      <c r="S78" s="168"/>
      <c r="T78" s="289"/>
      <c r="U78" s="16"/>
      <c r="V78" s="16" t="s">
        <v>405</v>
      </c>
      <c r="W78" s="16" t="s">
        <v>406</v>
      </c>
      <c r="X78" s="16" t="s">
        <v>407</v>
      </c>
      <c r="Y78" s="17">
        <v>103</v>
      </c>
      <c r="Z78" s="19">
        <v>14.56</v>
      </c>
      <c r="AA78" s="17">
        <v>99</v>
      </c>
      <c r="AB78" s="19">
        <v>0</v>
      </c>
    </row>
    <row r="79" spans="1:96" s="387" customFormat="1" ht="15" customHeight="1" x14ac:dyDescent="0.25">
      <c r="A79" s="460"/>
      <c r="B79" s="365" t="s">
        <v>22</v>
      </c>
      <c r="C79" s="15">
        <v>7</v>
      </c>
      <c r="D79" s="16">
        <v>82583731</v>
      </c>
      <c r="E79" s="17" t="s">
        <v>23</v>
      </c>
      <c r="F79" s="17" t="s">
        <v>43</v>
      </c>
      <c r="G79" s="20" t="s">
        <v>25</v>
      </c>
      <c r="H79" s="16" t="s">
        <v>26</v>
      </c>
      <c r="I79" s="18" t="s">
        <v>408</v>
      </c>
      <c r="J79" s="16" t="s">
        <v>409</v>
      </c>
      <c r="K79" s="20" t="s">
        <v>29</v>
      </c>
      <c r="L79" s="16" t="s">
        <v>30</v>
      </c>
      <c r="M79" s="16" t="s">
        <v>56</v>
      </c>
      <c r="S79" s="168"/>
      <c r="T79" s="289"/>
      <c r="U79" s="16"/>
      <c r="V79" s="16" t="s">
        <v>410</v>
      </c>
      <c r="W79" s="16" t="s">
        <v>411</v>
      </c>
      <c r="X79" s="16" t="s">
        <v>412</v>
      </c>
      <c r="Y79" s="17">
        <v>102</v>
      </c>
      <c r="Z79" s="19">
        <v>12.75</v>
      </c>
      <c r="AA79" s="17">
        <v>138</v>
      </c>
      <c r="AB79" s="19">
        <v>0</v>
      </c>
    </row>
    <row r="80" spans="1:96" s="387" customFormat="1" ht="15" customHeight="1" x14ac:dyDescent="0.25">
      <c r="A80" s="460"/>
      <c r="B80" s="365" t="s">
        <v>22</v>
      </c>
      <c r="C80" s="15">
        <v>7</v>
      </c>
      <c r="D80" s="16">
        <v>103252153</v>
      </c>
      <c r="E80" s="17" t="s">
        <v>24</v>
      </c>
      <c r="F80" s="17" t="s">
        <v>23</v>
      </c>
      <c r="G80" s="20" t="s">
        <v>25</v>
      </c>
      <c r="H80" s="16" t="s">
        <v>26</v>
      </c>
      <c r="I80" s="18" t="s">
        <v>413</v>
      </c>
      <c r="J80" s="16" t="s">
        <v>414</v>
      </c>
      <c r="K80" s="20" t="s">
        <v>29</v>
      </c>
      <c r="L80" s="16"/>
      <c r="M80" s="16" t="s">
        <v>31</v>
      </c>
      <c r="S80" s="168"/>
      <c r="T80" s="289"/>
      <c r="U80" s="16"/>
      <c r="V80" s="16" t="s">
        <v>238</v>
      </c>
      <c r="W80" s="16" t="s">
        <v>415</v>
      </c>
      <c r="X80" s="16" t="s">
        <v>416</v>
      </c>
      <c r="Y80" s="17">
        <v>95</v>
      </c>
      <c r="Z80" s="19">
        <v>15.79</v>
      </c>
      <c r="AA80" s="17">
        <v>115</v>
      </c>
      <c r="AB80" s="19">
        <v>0</v>
      </c>
    </row>
    <row r="81" spans="1:28" s="387" customFormat="1" ht="15" customHeight="1" x14ac:dyDescent="0.25">
      <c r="A81" s="460"/>
      <c r="B81" s="365" t="s">
        <v>22</v>
      </c>
      <c r="C81" s="15">
        <v>7</v>
      </c>
      <c r="D81" s="16">
        <v>121960253</v>
      </c>
      <c r="E81" s="17" t="s">
        <v>43</v>
      </c>
      <c r="F81" s="17" t="s">
        <v>23</v>
      </c>
      <c r="G81" s="20" t="s">
        <v>25</v>
      </c>
      <c r="H81" s="16" t="s">
        <v>26</v>
      </c>
      <c r="I81" s="18" t="s">
        <v>417</v>
      </c>
      <c r="J81" s="16" t="s">
        <v>418</v>
      </c>
      <c r="K81" s="20" t="s">
        <v>29</v>
      </c>
      <c r="L81" s="16"/>
      <c r="M81" s="16" t="s">
        <v>51</v>
      </c>
      <c r="S81" s="168"/>
      <c r="T81" s="289"/>
      <c r="U81" s="16"/>
      <c r="V81" s="16" t="s">
        <v>419</v>
      </c>
      <c r="W81" s="16" t="s">
        <v>420</v>
      </c>
      <c r="X81" s="16" t="s">
        <v>421</v>
      </c>
      <c r="Y81" s="17">
        <v>107</v>
      </c>
      <c r="Z81" s="19">
        <v>14.95</v>
      </c>
      <c r="AA81" s="17">
        <v>145</v>
      </c>
      <c r="AB81" s="19">
        <v>0</v>
      </c>
    </row>
    <row r="82" spans="1:28" s="387" customFormat="1" ht="15" customHeight="1" x14ac:dyDescent="0.25">
      <c r="A82" s="460"/>
      <c r="B82" s="365" t="s">
        <v>22</v>
      </c>
      <c r="C82" s="15">
        <v>8</v>
      </c>
      <c r="D82" s="16">
        <v>35544083</v>
      </c>
      <c r="E82" s="17" t="s">
        <v>24</v>
      </c>
      <c r="F82" s="17" t="s">
        <v>23</v>
      </c>
      <c r="G82" s="20" t="s">
        <v>25</v>
      </c>
      <c r="H82" s="16" t="s">
        <v>26</v>
      </c>
      <c r="I82" s="18" t="s">
        <v>422</v>
      </c>
      <c r="J82" s="16" t="s">
        <v>423</v>
      </c>
      <c r="K82" s="20" t="s">
        <v>29</v>
      </c>
      <c r="L82" s="16" t="s">
        <v>30</v>
      </c>
      <c r="M82" s="16" t="s">
        <v>56</v>
      </c>
      <c r="S82" s="168"/>
      <c r="T82" s="289"/>
      <c r="U82" s="16"/>
      <c r="V82" s="16" t="s">
        <v>125</v>
      </c>
      <c r="W82" s="16" t="s">
        <v>424</v>
      </c>
      <c r="X82" s="16" t="s">
        <v>425</v>
      </c>
      <c r="Y82" s="17">
        <v>71</v>
      </c>
      <c r="Z82" s="19">
        <v>33.799999999999997</v>
      </c>
      <c r="AA82" s="17">
        <v>68</v>
      </c>
      <c r="AB82" s="19">
        <v>0</v>
      </c>
    </row>
    <row r="83" spans="1:28" s="387" customFormat="1" ht="15" customHeight="1" x14ac:dyDescent="0.25">
      <c r="A83" s="460"/>
      <c r="B83" s="365" t="s">
        <v>22</v>
      </c>
      <c r="C83" s="15">
        <v>8</v>
      </c>
      <c r="D83" s="16">
        <v>40011287</v>
      </c>
      <c r="E83" s="17" t="s">
        <v>43</v>
      </c>
      <c r="F83" s="17" t="s">
        <v>23</v>
      </c>
      <c r="G83" s="20" t="s">
        <v>25</v>
      </c>
      <c r="H83" s="16" t="s">
        <v>26</v>
      </c>
      <c r="I83" s="18" t="s">
        <v>426</v>
      </c>
      <c r="J83" s="16" t="s">
        <v>427</v>
      </c>
      <c r="K83" s="20" t="s">
        <v>29</v>
      </c>
      <c r="L83" s="16"/>
      <c r="M83" s="16" t="s">
        <v>56</v>
      </c>
      <c r="S83" s="17"/>
      <c r="T83" s="289"/>
      <c r="U83" s="16"/>
      <c r="V83" s="16" t="s">
        <v>428</v>
      </c>
      <c r="W83" s="16" t="s">
        <v>429</v>
      </c>
      <c r="X83" s="16" t="s">
        <v>430</v>
      </c>
      <c r="Y83" s="17">
        <v>79</v>
      </c>
      <c r="Z83" s="19">
        <v>10.130000000000001</v>
      </c>
      <c r="AA83" s="17">
        <v>67</v>
      </c>
      <c r="AB83" s="19">
        <v>0</v>
      </c>
    </row>
    <row r="84" spans="1:28" s="387" customFormat="1" ht="15" customHeight="1" x14ac:dyDescent="0.25">
      <c r="A84" s="460"/>
      <c r="B84" s="365" t="s">
        <v>22</v>
      </c>
      <c r="C84" s="15">
        <v>8</v>
      </c>
      <c r="D84" s="16">
        <v>135669887</v>
      </c>
      <c r="E84" s="17" t="s">
        <v>24</v>
      </c>
      <c r="F84" s="17" t="s">
        <v>35</v>
      </c>
      <c r="G84" s="20" t="s">
        <v>25</v>
      </c>
      <c r="H84" s="16" t="s">
        <v>168</v>
      </c>
      <c r="I84" s="18" t="s">
        <v>431</v>
      </c>
      <c r="J84" s="16" t="s">
        <v>432</v>
      </c>
      <c r="K84" s="20" t="s">
        <v>29</v>
      </c>
      <c r="L84" s="16" t="s">
        <v>30</v>
      </c>
      <c r="M84" s="16" t="s">
        <v>51</v>
      </c>
      <c r="S84" s="17"/>
      <c r="T84" s="289"/>
      <c r="U84" s="16"/>
      <c r="V84" s="16" t="s">
        <v>433</v>
      </c>
      <c r="W84" s="16" t="s">
        <v>434</v>
      </c>
      <c r="X84" s="16" t="s">
        <v>435</v>
      </c>
      <c r="Y84" s="17">
        <v>85</v>
      </c>
      <c r="Z84" s="19">
        <v>20</v>
      </c>
      <c r="AA84" s="17">
        <v>79</v>
      </c>
      <c r="AB84" s="19">
        <v>0</v>
      </c>
    </row>
    <row r="85" spans="1:28" s="387" customFormat="1" ht="15" customHeight="1" x14ac:dyDescent="0.25">
      <c r="A85" s="460"/>
      <c r="B85" s="365" t="s">
        <v>22</v>
      </c>
      <c r="C85" s="15">
        <v>10</v>
      </c>
      <c r="D85" s="16">
        <v>94762</v>
      </c>
      <c r="E85" s="17" t="s">
        <v>35</v>
      </c>
      <c r="F85" s="17" t="s">
        <v>43</v>
      </c>
      <c r="G85" s="20" t="s">
        <v>25</v>
      </c>
      <c r="H85" s="16" t="s">
        <v>26</v>
      </c>
      <c r="I85" s="18" t="s">
        <v>436</v>
      </c>
      <c r="J85" s="16" t="s">
        <v>437</v>
      </c>
      <c r="K85" s="20" t="s">
        <v>29</v>
      </c>
      <c r="L85" s="16" t="s">
        <v>30</v>
      </c>
      <c r="M85" s="16" t="s">
        <v>56</v>
      </c>
      <c r="S85" s="17"/>
      <c r="T85" s="289"/>
      <c r="U85" s="16"/>
      <c r="V85" s="16" t="s">
        <v>438</v>
      </c>
      <c r="W85" s="16" t="s">
        <v>439</v>
      </c>
      <c r="X85" s="16" t="s">
        <v>440</v>
      </c>
      <c r="Y85" s="17">
        <v>95</v>
      </c>
      <c r="Z85" s="19">
        <v>10.53</v>
      </c>
      <c r="AA85" s="17">
        <v>65</v>
      </c>
      <c r="AB85" s="19">
        <v>0</v>
      </c>
    </row>
    <row r="86" spans="1:28" s="387" customFormat="1" ht="15" customHeight="1" x14ac:dyDescent="0.25">
      <c r="A86" s="460"/>
      <c r="B86" s="365" t="s">
        <v>22</v>
      </c>
      <c r="C86" s="15">
        <v>10</v>
      </c>
      <c r="D86" s="16">
        <v>88227250</v>
      </c>
      <c r="E86" s="17" t="s">
        <v>23</v>
      </c>
      <c r="F86" s="17" t="s">
        <v>35</v>
      </c>
      <c r="G86" s="20" t="s">
        <v>25</v>
      </c>
      <c r="H86" s="16" t="s">
        <v>26</v>
      </c>
      <c r="I86" s="18" t="s">
        <v>441</v>
      </c>
      <c r="J86" s="16" t="s">
        <v>442</v>
      </c>
      <c r="K86" s="20" t="s">
        <v>29</v>
      </c>
      <c r="L86" s="16" t="s">
        <v>30</v>
      </c>
      <c r="M86" s="16" t="s">
        <v>56</v>
      </c>
      <c r="S86" s="17"/>
      <c r="T86" s="289"/>
      <c r="U86" s="16"/>
      <c r="V86" s="16" t="s">
        <v>65</v>
      </c>
      <c r="W86" s="16" t="s">
        <v>443</v>
      </c>
      <c r="X86" s="16" t="s">
        <v>444</v>
      </c>
      <c r="Y86" s="17">
        <v>67</v>
      </c>
      <c r="Z86" s="19">
        <v>13.43</v>
      </c>
      <c r="AA86" s="17">
        <v>68</v>
      </c>
      <c r="AB86" s="19">
        <v>0</v>
      </c>
    </row>
    <row r="87" spans="1:28" s="387" customFormat="1" ht="15" customHeight="1" x14ac:dyDescent="0.25">
      <c r="A87" s="460"/>
      <c r="B87" s="365" t="s">
        <v>22</v>
      </c>
      <c r="C87" s="15">
        <v>11</v>
      </c>
      <c r="D87" s="16">
        <v>66453896</v>
      </c>
      <c r="E87" s="17" t="s">
        <v>24</v>
      </c>
      <c r="F87" s="17" t="s">
        <v>43</v>
      </c>
      <c r="G87" s="20" t="s">
        <v>25</v>
      </c>
      <c r="H87" s="16" t="s">
        <v>26</v>
      </c>
      <c r="I87" s="18" t="s">
        <v>445</v>
      </c>
      <c r="J87" s="16" t="s">
        <v>446</v>
      </c>
      <c r="K87" s="20" t="s">
        <v>29</v>
      </c>
      <c r="L87" s="16"/>
      <c r="M87" s="16" t="s">
        <v>51</v>
      </c>
      <c r="S87" s="17"/>
      <c r="T87" s="289"/>
      <c r="U87" s="16"/>
      <c r="V87" s="16" t="s">
        <v>87</v>
      </c>
      <c r="W87" s="16" t="s">
        <v>447</v>
      </c>
      <c r="X87" s="16" t="s">
        <v>448</v>
      </c>
      <c r="Y87" s="17">
        <v>61</v>
      </c>
      <c r="Z87" s="19">
        <v>19.670000000000002</v>
      </c>
      <c r="AA87" s="17">
        <v>53</v>
      </c>
      <c r="AB87" s="19">
        <v>0</v>
      </c>
    </row>
    <row r="88" spans="1:28" s="387" customFormat="1" ht="15" customHeight="1" x14ac:dyDescent="0.25">
      <c r="A88" s="460"/>
      <c r="B88" s="365" t="s">
        <v>22</v>
      </c>
      <c r="C88" s="15">
        <v>11</v>
      </c>
      <c r="D88" s="16">
        <v>102098268</v>
      </c>
      <c r="E88" s="17" t="s">
        <v>43</v>
      </c>
      <c r="F88" s="17" t="s">
        <v>35</v>
      </c>
      <c r="G88" s="20" t="s">
        <v>25</v>
      </c>
      <c r="H88" s="16" t="s">
        <v>26</v>
      </c>
      <c r="I88" s="18" t="s">
        <v>449</v>
      </c>
      <c r="J88" s="16" t="s">
        <v>450</v>
      </c>
      <c r="K88" s="20" t="s">
        <v>29</v>
      </c>
      <c r="L88" s="16" t="s">
        <v>39</v>
      </c>
      <c r="M88" s="16" t="s">
        <v>51</v>
      </c>
      <c r="N88" s="387">
        <v>1213331999</v>
      </c>
      <c r="R88" s="387" t="s">
        <v>4181</v>
      </c>
      <c r="S88" s="17"/>
      <c r="T88" s="289"/>
      <c r="U88" s="16"/>
      <c r="V88" s="16" t="s">
        <v>238</v>
      </c>
      <c r="W88" s="16" t="s">
        <v>451</v>
      </c>
      <c r="X88" s="16" t="s">
        <v>452</v>
      </c>
      <c r="Y88" s="17">
        <v>65</v>
      </c>
      <c r="Z88" s="19">
        <v>32.31</v>
      </c>
      <c r="AA88" s="17">
        <v>67</v>
      </c>
      <c r="AB88" s="19">
        <v>0</v>
      </c>
    </row>
    <row r="89" spans="1:28" s="387" customFormat="1" ht="15" customHeight="1" x14ac:dyDescent="0.25">
      <c r="A89" s="460"/>
      <c r="B89" s="365" t="s">
        <v>22</v>
      </c>
      <c r="C89" s="15">
        <v>11</v>
      </c>
      <c r="D89" s="16">
        <v>108382573</v>
      </c>
      <c r="E89" s="17" t="s">
        <v>23</v>
      </c>
      <c r="F89" s="17" t="s">
        <v>35</v>
      </c>
      <c r="G89" s="20" t="s">
        <v>25</v>
      </c>
      <c r="H89" s="16" t="s">
        <v>26</v>
      </c>
      <c r="I89" s="18" t="s">
        <v>453</v>
      </c>
      <c r="J89" s="16" t="s">
        <v>454</v>
      </c>
      <c r="K89" s="20" t="s">
        <v>109</v>
      </c>
      <c r="L89" s="16"/>
      <c r="M89" s="16"/>
      <c r="S89" s="17"/>
      <c r="T89" s="289"/>
      <c r="U89" s="16"/>
      <c r="V89" s="16" t="s">
        <v>376</v>
      </c>
      <c r="W89" s="16" t="s">
        <v>455</v>
      </c>
      <c r="X89" s="16" t="s">
        <v>456</v>
      </c>
      <c r="Y89" s="17">
        <v>69</v>
      </c>
      <c r="Z89" s="19">
        <v>27.54</v>
      </c>
      <c r="AA89" s="17">
        <v>79</v>
      </c>
      <c r="AB89" s="19">
        <v>0</v>
      </c>
    </row>
    <row r="90" spans="1:28" s="387" customFormat="1" ht="15" customHeight="1" x14ac:dyDescent="0.25">
      <c r="A90" s="460"/>
      <c r="B90" s="365" t="s">
        <v>22</v>
      </c>
      <c r="C90" s="15">
        <v>12</v>
      </c>
      <c r="D90" s="16">
        <v>6935834</v>
      </c>
      <c r="E90" s="17" t="s">
        <v>43</v>
      </c>
      <c r="F90" s="17" t="s">
        <v>23</v>
      </c>
      <c r="G90" s="20" t="s">
        <v>25</v>
      </c>
      <c r="H90" s="16" t="s">
        <v>26</v>
      </c>
      <c r="I90" s="18" t="s">
        <v>457</v>
      </c>
      <c r="J90" s="16" t="s">
        <v>458</v>
      </c>
      <c r="K90" s="20" t="s">
        <v>29</v>
      </c>
      <c r="L90" s="16" t="s">
        <v>30</v>
      </c>
      <c r="M90" s="16" t="s">
        <v>56</v>
      </c>
      <c r="S90" s="17"/>
      <c r="T90" s="289"/>
      <c r="U90" s="16"/>
      <c r="V90" s="16" t="s">
        <v>459</v>
      </c>
      <c r="W90" s="16" t="s">
        <v>460</v>
      </c>
      <c r="X90" s="16" t="s">
        <v>461</v>
      </c>
      <c r="Y90" s="17">
        <v>111</v>
      </c>
      <c r="Z90" s="19">
        <v>13.51</v>
      </c>
      <c r="AA90" s="17">
        <v>86</v>
      </c>
      <c r="AB90" s="19">
        <v>0</v>
      </c>
    </row>
    <row r="91" spans="1:28" s="387" customFormat="1" ht="15" customHeight="1" x14ac:dyDescent="0.25">
      <c r="A91" s="460"/>
      <c r="B91" s="365" t="s">
        <v>22</v>
      </c>
      <c r="C91" s="15">
        <v>12</v>
      </c>
      <c r="D91" s="16">
        <v>10961835</v>
      </c>
      <c r="E91" s="17" t="s">
        <v>43</v>
      </c>
      <c r="F91" s="17" t="s">
        <v>24</v>
      </c>
      <c r="G91" s="20" t="s">
        <v>25</v>
      </c>
      <c r="H91" s="16" t="s">
        <v>26</v>
      </c>
      <c r="I91" s="18" t="s">
        <v>462</v>
      </c>
      <c r="J91" s="16" t="s">
        <v>463</v>
      </c>
      <c r="K91" s="20" t="s">
        <v>29</v>
      </c>
      <c r="L91" s="16" t="s">
        <v>39</v>
      </c>
      <c r="M91" s="16" t="s">
        <v>51</v>
      </c>
      <c r="S91" s="17"/>
      <c r="T91" s="289"/>
      <c r="U91" s="16"/>
      <c r="V91" s="16" t="s">
        <v>32</v>
      </c>
      <c r="W91" s="16" t="s">
        <v>464</v>
      </c>
      <c r="X91" s="16" t="s">
        <v>465</v>
      </c>
      <c r="Y91" s="17">
        <v>97</v>
      </c>
      <c r="Z91" s="19">
        <v>11.34</v>
      </c>
      <c r="AA91" s="17">
        <v>111</v>
      </c>
      <c r="AB91" s="19">
        <v>0</v>
      </c>
    </row>
    <row r="92" spans="1:28" s="387" customFormat="1" ht="15" customHeight="1" x14ac:dyDescent="0.25">
      <c r="A92" s="460"/>
      <c r="B92" s="365" t="s">
        <v>22</v>
      </c>
      <c r="C92" s="15">
        <v>12</v>
      </c>
      <c r="D92" s="16">
        <v>40876032</v>
      </c>
      <c r="E92" s="17" t="s">
        <v>43</v>
      </c>
      <c r="F92" s="17" t="s">
        <v>24</v>
      </c>
      <c r="G92" s="20" t="s">
        <v>25</v>
      </c>
      <c r="H92" s="16" t="s">
        <v>26</v>
      </c>
      <c r="I92" s="18" t="s">
        <v>466</v>
      </c>
      <c r="J92" s="16" t="s">
        <v>467</v>
      </c>
      <c r="K92" s="20" t="s">
        <v>29</v>
      </c>
      <c r="L92" s="16"/>
      <c r="M92" s="16"/>
      <c r="S92" s="17"/>
      <c r="T92" s="289"/>
      <c r="U92" s="16"/>
      <c r="V92" s="16" t="s">
        <v>468</v>
      </c>
      <c r="W92" s="16" t="s">
        <v>469</v>
      </c>
      <c r="X92" s="16" t="s">
        <v>470</v>
      </c>
      <c r="Y92" s="17">
        <v>107</v>
      </c>
      <c r="Z92" s="19">
        <v>20.56</v>
      </c>
      <c r="AA92" s="17">
        <v>90</v>
      </c>
      <c r="AB92" s="19">
        <v>0</v>
      </c>
    </row>
    <row r="93" spans="1:28" s="387" customFormat="1" ht="15" customHeight="1" x14ac:dyDescent="0.25">
      <c r="A93" s="460"/>
      <c r="B93" s="365" t="s">
        <v>22</v>
      </c>
      <c r="C93" s="15">
        <v>12</v>
      </c>
      <c r="D93" s="16">
        <v>40884571</v>
      </c>
      <c r="E93" s="17" t="s">
        <v>43</v>
      </c>
      <c r="F93" s="17" t="s">
        <v>35</v>
      </c>
      <c r="G93" s="20" t="s">
        <v>25</v>
      </c>
      <c r="H93" s="16" t="s">
        <v>26</v>
      </c>
      <c r="I93" s="18" t="s">
        <v>466</v>
      </c>
      <c r="J93" s="16" t="s">
        <v>471</v>
      </c>
      <c r="K93" s="20" t="s">
        <v>29</v>
      </c>
      <c r="L93" s="16"/>
      <c r="M93" s="16"/>
      <c r="S93" s="17"/>
      <c r="T93" s="289"/>
      <c r="U93" s="16"/>
      <c r="V93" s="16" t="s">
        <v>468</v>
      </c>
      <c r="W93" s="16" t="s">
        <v>469</v>
      </c>
      <c r="X93" s="16" t="s">
        <v>472</v>
      </c>
      <c r="Y93" s="17">
        <v>95</v>
      </c>
      <c r="Z93" s="19">
        <v>13.68</v>
      </c>
      <c r="AA93" s="17">
        <v>105</v>
      </c>
      <c r="AB93" s="19">
        <v>0</v>
      </c>
    </row>
    <row r="94" spans="1:28" s="387" customFormat="1" ht="15" customHeight="1" x14ac:dyDescent="0.25">
      <c r="A94" s="460"/>
      <c r="B94" s="365" t="s">
        <v>22</v>
      </c>
      <c r="C94" s="15">
        <v>17</v>
      </c>
      <c r="D94" s="16">
        <v>74019390</v>
      </c>
      <c r="E94" s="17" t="s">
        <v>23</v>
      </c>
      <c r="F94" s="17" t="s">
        <v>24</v>
      </c>
      <c r="G94" s="20" t="s">
        <v>25</v>
      </c>
      <c r="H94" s="16" t="s">
        <v>26</v>
      </c>
      <c r="I94" s="18" t="s">
        <v>473</v>
      </c>
      <c r="J94" s="16" t="s">
        <v>474</v>
      </c>
      <c r="K94" s="20" t="s">
        <v>29</v>
      </c>
      <c r="L94" s="16" t="s">
        <v>30</v>
      </c>
      <c r="M94" s="16" t="s">
        <v>31</v>
      </c>
      <c r="N94" s="387">
        <v>763793224</v>
      </c>
      <c r="Q94" s="387" t="s">
        <v>4183</v>
      </c>
      <c r="R94" s="387" t="s">
        <v>4184</v>
      </c>
      <c r="S94" s="17"/>
      <c r="T94" s="289"/>
      <c r="U94" s="16"/>
      <c r="V94" s="16" t="s">
        <v>82</v>
      </c>
      <c r="W94" s="16" t="s">
        <v>475</v>
      </c>
      <c r="X94" s="16" t="s">
        <v>476</v>
      </c>
      <c r="Y94" s="17">
        <v>88</v>
      </c>
      <c r="Z94" s="19">
        <v>20.45</v>
      </c>
      <c r="AA94" s="17">
        <v>86</v>
      </c>
      <c r="AB94" s="19">
        <v>0</v>
      </c>
    </row>
    <row r="95" spans="1:28" s="387" customFormat="1" ht="15" customHeight="1" x14ac:dyDescent="0.25">
      <c r="A95" s="460"/>
      <c r="B95" s="365" t="s">
        <v>22</v>
      </c>
      <c r="C95" s="15">
        <v>18</v>
      </c>
      <c r="D95" s="16">
        <v>74154875</v>
      </c>
      <c r="E95" s="17" t="s">
        <v>43</v>
      </c>
      <c r="F95" s="17" t="s">
        <v>24</v>
      </c>
      <c r="G95" s="20" t="s">
        <v>25</v>
      </c>
      <c r="H95" s="16" t="s">
        <v>26</v>
      </c>
      <c r="I95" s="18" t="s">
        <v>477</v>
      </c>
      <c r="J95" s="16" t="s">
        <v>478</v>
      </c>
      <c r="K95" s="20" t="s">
        <v>29</v>
      </c>
      <c r="L95" s="16" t="s">
        <v>39</v>
      </c>
      <c r="M95" s="16" t="s">
        <v>56</v>
      </c>
      <c r="S95" s="17"/>
      <c r="T95" s="289"/>
      <c r="U95" s="16"/>
      <c r="V95" s="16" t="s">
        <v>194</v>
      </c>
      <c r="W95" s="16" t="s">
        <v>479</v>
      </c>
      <c r="X95" s="16" t="s">
        <v>480</v>
      </c>
      <c r="Y95" s="17">
        <v>72</v>
      </c>
      <c r="Z95" s="19">
        <v>16.670000000000002</v>
      </c>
      <c r="AA95" s="17">
        <v>114</v>
      </c>
      <c r="AB95" s="19">
        <v>0</v>
      </c>
    </row>
    <row r="96" spans="1:28" s="387" customFormat="1" ht="15" customHeight="1" x14ac:dyDescent="0.25">
      <c r="A96" s="460"/>
      <c r="B96" s="365" t="s">
        <v>22</v>
      </c>
      <c r="C96" s="15">
        <v>19</v>
      </c>
      <c r="D96" s="16">
        <v>1809697</v>
      </c>
      <c r="E96" s="17" t="s">
        <v>24</v>
      </c>
      <c r="F96" s="17" t="s">
        <v>35</v>
      </c>
      <c r="G96" s="20" t="s">
        <v>25</v>
      </c>
      <c r="H96" s="16" t="s">
        <v>73</v>
      </c>
      <c r="I96" s="18" t="s">
        <v>481</v>
      </c>
      <c r="J96" s="16" t="s">
        <v>482</v>
      </c>
      <c r="K96" s="20" t="s">
        <v>29</v>
      </c>
      <c r="L96" s="16" t="s">
        <v>39</v>
      </c>
      <c r="M96" s="16" t="s">
        <v>51</v>
      </c>
      <c r="S96" s="17"/>
      <c r="T96" s="289"/>
      <c r="U96" s="16"/>
      <c r="V96" s="16" t="s">
        <v>120</v>
      </c>
      <c r="W96" s="16" t="s">
        <v>483</v>
      </c>
      <c r="X96" s="16" t="s">
        <v>484</v>
      </c>
      <c r="Y96" s="17">
        <v>57</v>
      </c>
      <c r="Z96" s="19">
        <v>24.56</v>
      </c>
      <c r="AA96" s="17">
        <v>50</v>
      </c>
      <c r="AB96" s="19">
        <v>0</v>
      </c>
    </row>
    <row r="97" spans="1:28" s="387" customFormat="1" ht="15" customHeight="1" x14ac:dyDescent="0.25">
      <c r="A97" s="460"/>
      <c r="B97" s="365" t="s">
        <v>22</v>
      </c>
      <c r="C97" s="15">
        <v>19</v>
      </c>
      <c r="D97" s="16">
        <v>7965779</v>
      </c>
      <c r="E97" s="17" t="s">
        <v>35</v>
      </c>
      <c r="F97" s="17" t="s">
        <v>43</v>
      </c>
      <c r="G97" s="20" t="s">
        <v>25</v>
      </c>
      <c r="H97" s="16" t="s">
        <v>26</v>
      </c>
      <c r="I97" s="18" t="s">
        <v>486</v>
      </c>
      <c r="J97" s="16" t="s">
        <v>487</v>
      </c>
      <c r="K97" s="20" t="s">
        <v>29</v>
      </c>
      <c r="L97" s="16" t="s">
        <v>30</v>
      </c>
      <c r="M97" s="16" t="s">
        <v>51</v>
      </c>
      <c r="S97" s="17"/>
      <c r="T97" s="289"/>
      <c r="U97" s="16"/>
      <c r="V97" s="16" t="s">
        <v>32</v>
      </c>
      <c r="W97" s="16" t="s">
        <v>488</v>
      </c>
      <c r="X97" s="16" t="s">
        <v>489</v>
      </c>
      <c r="Y97" s="17">
        <v>60</v>
      </c>
      <c r="Z97" s="19">
        <v>20</v>
      </c>
      <c r="AA97" s="17">
        <v>47</v>
      </c>
      <c r="AB97" s="19">
        <v>0</v>
      </c>
    </row>
    <row r="98" spans="1:28" s="387" customFormat="1" ht="15" customHeight="1" x14ac:dyDescent="0.25">
      <c r="A98" s="460"/>
      <c r="B98" s="365" t="s">
        <v>22</v>
      </c>
      <c r="C98" s="15">
        <v>22</v>
      </c>
      <c r="D98" s="16">
        <v>37331422</v>
      </c>
      <c r="E98" s="17" t="s">
        <v>43</v>
      </c>
      <c r="F98" s="17" t="s">
        <v>35</v>
      </c>
      <c r="G98" s="20" t="s">
        <v>25</v>
      </c>
      <c r="H98" s="16" t="s">
        <v>26</v>
      </c>
      <c r="I98" s="18" t="s">
        <v>490</v>
      </c>
      <c r="J98" s="16" t="s">
        <v>491</v>
      </c>
      <c r="K98" s="20" t="s">
        <v>29</v>
      </c>
      <c r="L98" s="16" t="s">
        <v>39</v>
      </c>
      <c r="M98" s="16" t="s">
        <v>51</v>
      </c>
      <c r="N98" s="387">
        <v>150774863</v>
      </c>
      <c r="P98" s="387" t="s">
        <v>761</v>
      </c>
      <c r="Q98" s="387" t="s">
        <v>4180</v>
      </c>
      <c r="R98" s="387" t="s">
        <v>4180</v>
      </c>
      <c r="S98" s="17"/>
      <c r="T98" s="289"/>
      <c r="U98" s="16"/>
      <c r="V98" s="16" t="s">
        <v>52</v>
      </c>
      <c r="W98" s="16" t="s">
        <v>492</v>
      </c>
      <c r="X98" s="16" t="s">
        <v>493</v>
      </c>
      <c r="Y98" s="17">
        <v>43</v>
      </c>
      <c r="Z98" s="19">
        <v>37.21</v>
      </c>
      <c r="AA98" s="17">
        <v>64</v>
      </c>
      <c r="AB98" s="19">
        <v>0</v>
      </c>
    </row>
    <row r="99" spans="1:28" s="387" customFormat="1" ht="15" customHeight="1" x14ac:dyDescent="0.25">
      <c r="A99" s="460"/>
      <c r="B99" s="365" t="s">
        <v>22</v>
      </c>
      <c r="C99" s="15">
        <v>22</v>
      </c>
      <c r="D99" s="16">
        <v>44336001</v>
      </c>
      <c r="E99" s="17" t="s">
        <v>23</v>
      </c>
      <c r="F99" s="17" t="s">
        <v>24</v>
      </c>
      <c r="G99" s="20" t="s">
        <v>25</v>
      </c>
      <c r="H99" s="16" t="s">
        <v>26</v>
      </c>
      <c r="I99" s="18" t="s">
        <v>494</v>
      </c>
      <c r="J99" s="16" t="s">
        <v>495</v>
      </c>
      <c r="K99" s="20" t="s">
        <v>109</v>
      </c>
      <c r="L99" s="16"/>
      <c r="M99" s="16"/>
      <c r="N99" s="387">
        <v>1433623201</v>
      </c>
      <c r="S99" s="17"/>
      <c r="T99" s="289"/>
      <c r="U99" s="16"/>
      <c r="V99" s="16" t="s">
        <v>496</v>
      </c>
      <c r="W99" s="16" t="s">
        <v>497</v>
      </c>
      <c r="X99" s="16" t="s">
        <v>498</v>
      </c>
      <c r="Y99" s="17">
        <v>33</v>
      </c>
      <c r="Z99" s="19">
        <v>42.42</v>
      </c>
      <c r="AA99" s="17">
        <v>44</v>
      </c>
      <c r="AB99" s="19">
        <v>0</v>
      </c>
    </row>
    <row r="100" spans="1:28" s="387" customFormat="1" ht="15" customHeight="1" x14ac:dyDescent="0.25">
      <c r="A100" s="460"/>
      <c r="B100" s="365" t="s">
        <v>22</v>
      </c>
      <c r="C100" s="15" t="s">
        <v>379</v>
      </c>
      <c r="D100" s="16">
        <v>30578228</v>
      </c>
      <c r="E100" s="17" t="s">
        <v>43</v>
      </c>
      <c r="F100" s="17" t="s">
        <v>24</v>
      </c>
      <c r="G100" s="20" t="s">
        <v>25</v>
      </c>
      <c r="H100" s="16" t="s">
        <v>26</v>
      </c>
      <c r="I100" s="18" t="s">
        <v>499</v>
      </c>
      <c r="J100" s="16" t="s">
        <v>500</v>
      </c>
      <c r="K100" s="20" t="s">
        <v>29</v>
      </c>
      <c r="L100" s="16" t="s">
        <v>39</v>
      </c>
      <c r="M100" s="16" t="s">
        <v>51</v>
      </c>
      <c r="N100" s="387">
        <v>140764539</v>
      </c>
      <c r="P100" s="387" t="s">
        <v>4187</v>
      </c>
      <c r="Q100" s="387" t="s">
        <v>4188</v>
      </c>
      <c r="R100" s="387" t="s">
        <v>4189</v>
      </c>
      <c r="S100" s="17"/>
      <c r="T100" s="289"/>
      <c r="U100" s="16"/>
      <c r="V100" s="16" t="s">
        <v>501</v>
      </c>
      <c r="W100" s="16" t="s">
        <v>502</v>
      </c>
      <c r="X100" s="16" t="s">
        <v>503</v>
      </c>
      <c r="Y100" s="17">
        <v>42</v>
      </c>
      <c r="Z100" s="19">
        <v>35.71</v>
      </c>
      <c r="AA100" s="17">
        <v>38</v>
      </c>
      <c r="AB100" s="19">
        <v>0</v>
      </c>
    </row>
    <row r="101" spans="1:28" s="388" customFormat="1" ht="15" customHeight="1" x14ac:dyDescent="0.25">
      <c r="A101" s="460"/>
      <c r="B101" s="22" t="s">
        <v>504</v>
      </c>
      <c r="C101" s="23">
        <v>3</v>
      </c>
      <c r="D101" s="24">
        <v>155649633</v>
      </c>
      <c r="E101" s="25" t="s">
        <v>23</v>
      </c>
      <c r="F101" s="25" t="s">
        <v>43</v>
      </c>
      <c r="G101" s="28" t="s">
        <v>25</v>
      </c>
      <c r="H101" s="24" t="s">
        <v>26</v>
      </c>
      <c r="I101" s="26" t="s">
        <v>505</v>
      </c>
      <c r="J101" s="24" t="s">
        <v>506</v>
      </c>
      <c r="K101" s="28" t="s">
        <v>29</v>
      </c>
      <c r="L101" s="24" t="s">
        <v>30</v>
      </c>
      <c r="M101" s="24" t="s">
        <v>56</v>
      </c>
      <c r="S101" s="368"/>
      <c r="T101" s="290"/>
      <c r="U101" s="24"/>
      <c r="V101" s="24" t="s">
        <v>507</v>
      </c>
      <c r="W101" s="24" t="s">
        <v>508</v>
      </c>
      <c r="X101" s="24" t="s">
        <v>509</v>
      </c>
      <c r="Y101" s="25">
        <v>63</v>
      </c>
      <c r="Z101" s="27">
        <v>30.16</v>
      </c>
      <c r="AA101" s="25">
        <v>72</v>
      </c>
      <c r="AB101" s="27">
        <v>15.28</v>
      </c>
    </row>
    <row r="102" spans="1:28" s="24" customFormat="1" ht="15" customHeight="1" x14ac:dyDescent="0.25">
      <c r="A102" s="460"/>
      <c r="B102" s="22" t="s">
        <v>504</v>
      </c>
      <c r="C102" s="23">
        <v>4</v>
      </c>
      <c r="D102" s="24">
        <v>41748081</v>
      </c>
      <c r="E102" s="25"/>
      <c r="F102" s="25" t="s">
        <v>43</v>
      </c>
      <c r="G102" s="28" t="s">
        <v>211</v>
      </c>
      <c r="H102" s="24" t="s">
        <v>26</v>
      </c>
      <c r="I102" s="26" t="s">
        <v>510</v>
      </c>
      <c r="J102" s="24" t="s">
        <v>511</v>
      </c>
      <c r="K102" s="28" t="s">
        <v>81</v>
      </c>
      <c r="N102" s="388"/>
      <c r="O102" s="388"/>
      <c r="P102" s="388"/>
      <c r="Q102" s="388"/>
      <c r="R102" s="388"/>
      <c r="S102" s="25"/>
      <c r="T102" s="28"/>
      <c r="V102" s="24" t="s">
        <v>270</v>
      </c>
      <c r="W102" s="24" t="s">
        <v>512</v>
      </c>
      <c r="X102" s="24" t="s">
        <v>513</v>
      </c>
      <c r="Y102" s="25">
        <v>78</v>
      </c>
      <c r="Z102" s="27">
        <v>33.33</v>
      </c>
      <c r="AA102" s="25">
        <v>62</v>
      </c>
      <c r="AB102" s="27">
        <v>27.42</v>
      </c>
    </row>
    <row r="103" spans="1:28" s="388" customFormat="1" ht="15" customHeight="1" x14ac:dyDescent="0.25">
      <c r="A103" s="460"/>
      <c r="B103" s="22" t="s">
        <v>504</v>
      </c>
      <c r="C103" s="29">
        <v>4</v>
      </c>
      <c r="D103" s="30">
        <v>187627901</v>
      </c>
      <c r="E103" s="29" t="s">
        <v>23</v>
      </c>
      <c r="F103" s="29" t="s">
        <v>35</v>
      </c>
      <c r="G103" s="291" t="s">
        <v>25</v>
      </c>
      <c r="H103" s="30" t="s">
        <v>26</v>
      </c>
      <c r="I103" s="31" t="s">
        <v>514</v>
      </c>
      <c r="J103" s="30" t="s">
        <v>515</v>
      </c>
      <c r="K103" s="30" t="s">
        <v>29</v>
      </c>
      <c r="L103" s="30" t="s">
        <v>30</v>
      </c>
      <c r="M103" s="30" t="s">
        <v>56</v>
      </c>
      <c r="S103" s="29"/>
      <c r="T103" s="291"/>
      <c r="U103" s="30"/>
      <c r="V103" s="30" t="s">
        <v>516</v>
      </c>
      <c r="W103" s="30" t="s">
        <v>517</v>
      </c>
      <c r="X103" s="30" t="s">
        <v>518</v>
      </c>
      <c r="Y103" s="29">
        <v>82</v>
      </c>
      <c r="Z103" s="32">
        <v>2</v>
      </c>
      <c r="AA103" s="29">
        <v>69</v>
      </c>
      <c r="AB103" s="32">
        <v>15.94</v>
      </c>
    </row>
    <row r="104" spans="1:28" s="391" customFormat="1" x14ac:dyDescent="0.25">
      <c r="A104" s="460"/>
      <c r="B104" s="389" t="s">
        <v>153</v>
      </c>
      <c r="C104" s="369">
        <v>1</v>
      </c>
      <c r="D104" s="370">
        <v>2938254</v>
      </c>
      <c r="E104" s="369" t="s">
        <v>24</v>
      </c>
      <c r="F104" s="369" t="s">
        <v>35</v>
      </c>
      <c r="G104" s="372" t="s">
        <v>25</v>
      </c>
      <c r="H104" s="370" t="s">
        <v>26</v>
      </c>
      <c r="I104" s="371" t="s">
        <v>531</v>
      </c>
      <c r="J104" s="370" t="s">
        <v>532</v>
      </c>
      <c r="K104" s="370" t="s">
        <v>29</v>
      </c>
      <c r="L104" s="370" t="s">
        <v>39</v>
      </c>
      <c r="M104" s="370" t="s">
        <v>51</v>
      </c>
      <c r="N104" s="390"/>
      <c r="O104" s="390"/>
      <c r="P104" s="390"/>
      <c r="Q104" s="390"/>
      <c r="R104" s="390"/>
      <c r="S104" s="369"/>
      <c r="T104" s="372"/>
      <c r="U104" s="370"/>
      <c r="V104" s="370" t="s">
        <v>533</v>
      </c>
      <c r="W104" s="370" t="s">
        <v>534</v>
      </c>
      <c r="X104" s="370" t="s">
        <v>535</v>
      </c>
      <c r="Y104" s="369">
        <v>67</v>
      </c>
      <c r="Z104" s="373">
        <v>0</v>
      </c>
      <c r="AA104" s="369">
        <v>53</v>
      </c>
      <c r="AB104" s="373">
        <v>16.98</v>
      </c>
    </row>
    <row r="105" spans="1:28" s="391" customFormat="1" x14ac:dyDescent="0.25">
      <c r="A105" s="460"/>
      <c r="B105" s="389" t="s">
        <v>153</v>
      </c>
      <c r="C105" s="369">
        <v>1</v>
      </c>
      <c r="D105" s="370">
        <v>28128189</v>
      </c>
      <c r="E105" s="369" t="s">
        <v>23</v>
      </c>
      <c r="F105" s="369" t="s">
        <v>24</v>
      </c>
      <c r="G105" s="372" t="s">
        <v>25</v>
      </c>
      <c r="H105" s="370" t="s">
        <v>26</v>
      </c>
      <c r="I105" s="371" t="s">
        <v>536</v>
      </c>
      <c r="J105" s="370" t="s">
        <v>537</v>
      </c>
      <c r="K105" s="370" t="s">
        <v>29</v>
      </c>
      <c r="L105" s="370" t="s">
        <v>30</v>
      </c>
      <c r="M105" s="370" t="s">
        <v>56</v>
      </c>
      <c r="N105" s="390">
        <v>1199686655</v>
      </c>
      <c r="O105" s="390"/>
      <c r="P105" s="390"/>
      <c r="Q105" s="390"/>
      <c r="R105" s="390" t="s">
        <v>4181</v>
      </c>
      <c r="S105" s="369"/>
      <c r="T105" s="372" t="s">
        <v>538</v>
      </c>
      <c r="U105" s="370"/>
      <c r="V105" s="370" t="s">
        <v>539</v>
      </c>
      <c r="W105" s="370" t="s">
        <v>540</v>
      </c>
      <c r="X105" s="370" t="s">
        <v>541</v>
      </c>
      <c r="Y105" s="369">
        <v>66</v>
      </c>
      <c r="Z105" s="373">
        <v>0</v>
      </c>
      <c r="AA105" s="369">
        <v>51</v>
      </c>
      <c r="AB105" s="373">
        <v>19.61</v>
      </c>
    </row>
    <row r="106" spans="1:28" s="391" customFormat="1" x14ac:dyDescent="0.25">
      <c r="A106" s="460"/>
      <c r="B106" s="389" t="s">
        <v>153</v>
      </c>
      <c r="C106" s="369">
        <v>1</v>
      </c>
      <c r="D106" s="370">
        <v>44446780</v>
      </c>
      <c r="E106" s="369" t="s">
        <v>43</v>
      </c>
      <c r="F106" s="369" t="s">
        <v>24</v>
      </c>
      <c r="G106" s="372" t="s">
        <v>25</v>
      </c>
      <c r="H106" s="370" t="s">
        <v>4178</v>
      </c>
      <c r="I106" s="371" t="s">
        <v>543</v>
      </c>
      <c r="J106" s="370"/>
      <c r="K106" s="370" t="s">
        <v>485</v>
      </c>
      <c r="L106" s="370"/>
      <c r="M106" s="370"/>
      <c r="N106" s="390"/>
      <c r="O106" s="390"/>
      <c r="P106" s="390"/>
      <c r="Q106" s="390"/>
      <c r="R106" s="390"/>
      <c r="S106" s="369"/>
      <c r="T106" s="372"/>
      <c r="U106" s="370"/>
      <c r="V106" s="370" t="s">
        <v>544</v>
      </c>
      <c r="W106" s="370" t="s">
        <v>545</v>
      </c>
      <c r="X106" s="370" t="s">
        <v>546</v>
      </c>
      <c r="Y106" s="369">
        <v>69</v>
      </c>
      <c r="Z106" s="373">
        <v>0</v>
      </c>
      <c r="AA106" s="369">
        <v>58</v>
      </c>
      <c r="AB106" s="373">
        <v>15.52</v>
      </c>
    </row>
    <row r="107" spans="1:28" s="391" customFormat="1" x14ac:dyDescent="0.25">
      <c r="A107" s="460"/>
      <c r="B107" s="389" t="s">
        <v>153</v>
      </c>
      <c r="C107" s="369">
        <v>1</v>
      </c>
      <c r="D107" s="370">
        <v>151495974</v>
      </c>
      <c r="E107" s="369" t="s">
        <v>35</v>
      </c>
      <c r="F107" s="369" t="s">
        <v>24</v>
      </c>
      <c r="G107" s="372" t="s">
        <v>25</v>
      </c>
      <c r="H107" s="370" t="s">
        <v>26</v>
      </c>
      <c r="I107" s="371" t="s">
        <v>547</v>
      </c>
      <c r="J107" s="370" t="s">
        <v>548</v>
      </c>
      <c r="K107" s="370" t="s">
        <v>29</v>
      </c>
      <c r="L107" s="370" t="s">
        <v>30</v>
      </c>
      <c r="M107" s="370"/>
      <c r="N107" s="390"/>
      <c r="O107" s="390"/>
      <c r="P107" s="390"/>
      <c r="Q107" s="390"/>
      <c r="R107" s="390"/>
      <c r="S107" s="369"/>
      <c r="T107" s="372"/>
      <c r="U107" s="370"/>
      <c r="V107" s="370" t="s">
        <v>98</v>
      </c>
      <c r="W107" s="370" t="s">
        <v>549</v>
      </c>
      <c r="X107" s="370" t="s">
        <v>550</v>
      </c>
      <c r="Y107" s="369">
        <v>107</v>
      </c>
      <c r="Z107" s="373">
        <v>0</v>
      </c>
      <c r="AA107" s="369">
        <v>69</v>
      </c>
      <c r="AB107" s="373">
        <v>18.84</v>
      </c>
    </row>
    <row r="108" spans="1:28" s="391" customFormat="1" x14ac:dyDescent="0.25">
      <c r="A108" s="460"/>
      <c r="B108" s="389" t="s">
        <v>153</v>
      </c>
      <c r="C108" s="369">
        <v>1</v>
      </c>
      <c r="D108" s="370">
        <v>153313050</v>
      </c>
      <c r="E108" s="369" t="s">
        <v>43</v>
      </c>
      <c r="F108" s="369" t="s">
        <v>24</v>
      </c>
      <c r="G108" s="372" t="s">
        <v>25</v>
      </c>
      <c r="H108" s="370" t="s">
        <v>26</v>
      </c>
      <c r="I108" s="371" t="s">
        <v>551</v>
      </c>
      <c r="J108" s="370" t="s">
        <v>552</v>
      </c>
      <c r="K108" s="370" t="s">
        <v>29</v>
      </c>
      <c r="L108" s="370" t="s">
        <v>30</v>
      </c>
      <c r="M108" s="370" t="s">
        <v>56</v>
      </c>
      <c r="N108" s="390"/>
      <c r="O108" s="390"/>
      <c r="P108" s="390"/>
      <c r="Q108" s="390"/>
      <c r="R108" s="390"/>
      <c r="S108" s="369"/>
      <c r="T108" s="372"/>
      <c r="U108" s="370"/>
      <c r="V108" s="370" t="s">
        <v>98</v>
      </c>
      <c r="W108" s="370" t="s">
        <v>553</v>
      </c>
      <c r="X108" s="370" t="s">
        <v>554</v>
      </c>
      <c r="Y108" s="369">
        <v>75</v>
      </c>
      <c r="Z108" s="373">
        <v>0</v>
      </c>
      <c r="AA108" s="369">
        <v>70</v>
      </c>
      <c r="AB108" s="373">
        <v>14.29</v>
      </c>
    </row>
    <row r="109" spans="1:28" s="391" customFormat="1" x14ac:dyDescent="0.25">
      <c r="A109" s="460"/>
      <c r="B109" s="389" t="s">
        <v>153</v>
      </c>
      <c r="C109" s="369">
        <v>1</v>
      </c>
      <c r="D109" s="370">
        <v>179603622</v>
      </c>
      <c r="E109" s="369" t="s">
        <v>23</v>
      </c>
      <c r="F109" s="369" t="s">
        <v>24</v>
      </c>
      <c r="G109" s="372" t="s">
        <v>25</v>
      </c>
      <c r="H109" s="370" t="s">
        <v>128</v>
      </c>
      <c r="I109" s="371" t="s">
        <v>555</v>
      </c>
      <c r="J109" s="370" t="s">
        <v>556</v>
      </c>
      <c r="K109" s="370" t="s">
        <v>29</v>
      </c>
      <c r="L109" s="370" t="s">
        <v>39</v>
      </c>
      <c r="M109" s="370" t="s">
        <v>51</v>
      </c>
      <c r="N109" s="390"/>
      <c r="O109" s="390" t="s">
        <v>4182</v>
      </c>
      <c r="P109" s="390"/>
      <c r="Q109" s="390"/>
      <c r="R109" s="390"/>
      <c r="S109" s="369"/>
      <c r="T109" s="372"/>
      <c r="U109" s="370"/>
      <c r="V109" s="370" t="s">
        <v>557</v>
      </c>
      <c r="W109" s="370" t="s">
        <v>558</v>
      </c>
      <c r="X109" s="370" t="s">
        <v>559</v>
      </c>
      <c r="Y109" s="369">
        <v>97</v>
      </c>
      <c r="Z109" s="373">
        <v>0</v>
      </c>
      <c r="AA109" s="369">
        <v>66</v>
      </c>
      <c r="AB109" s="373">
        <v>12.12</v>
      </c>
    </row>
    <row r="110" spans="1:28" s="391" customFormat="1" x14ac:dyDescent="0.25">
      <c r="A110" s="460"/>
      <c r="B110" s="389" t="s">
        <v>153</v>
      </c>
      <c r="C110" s="369">
        <v>1</v>
      </c>
      <c r="D110" s="370">
        <v>200017575</v>
      </c>
      <c r="E110" s="369" t="s">
        <v>35</v>
      </c>
      <c r="F110" s="369" t="s">
        <v>23</v>
      </c>
      <c r="G110" s="372" t="s">
        <v>25</v>
      </c>
      <c r="H110" s="370" t="s">
        <v>26</v>
      </c>
      <c r="I110" s="371" t="s">
        <v>560</v>
      </c>
      <c r="J110" s="370" t="s">
        <v>561</v>
      </c>
      <c r="K110" s="370" t="s">
        <v>29</v>
      </c>
      <c r="L110" s="370" t="s">
        <v>39</v>
      </c>
      <c r="M110" s="370" t="s">
        <v>51</v>
      </c>
      <c r="N110" s="390"/>
      <c r="O110" s="390"/>
      <c r="P110" s="390"/>
      <c r="Q110" s="390"/>
      <c r="R110" s="390"/>
      <c r="S110" s="369"/>
      <c r="T110" s="372"/>
      <c r="U110" s="370"/>
      <c r="V110" s="370" t="s">
        <v>562</v>
      </c>
      <c r="W110" s="370" t="s">
        <v>563</v>
      </c>
      <c r="X110" s="370" t="s">
        <v>564</v>
      </c>
      <c r="Y110" s="369">
        <v>92</v>
      </c>
      <c r="Z110" s="373">
        <v>0</v>
      </c>
      <c r="AA110" s="369">
        <v>68</v>
      </c>
      <c r="AB110" s="373">
        <v>14.71</v>
      </c>
    </row>
    <row r="111" spans="1:28" s="391" customFormat="1" x14ac:dyDescent="0.25">
      <c r="A111" s="460"/>
      <c r="B111" s="389" t="s">
        <v>153</v>
      </c>
      <c r="C111" s="369">
        <v>2</v>
      </c>
      <c r="D111" s="370">
        <v>71651779</v>
      </c>
      <c r="E111" s="369" t="s">
        <v>43</v>
      </c>
      <c r="F111" s="369" t="s">
        <v>24</v>
      </c>
      <c r="G111" s="372" t="s">
        <v>25</v>
      </c>
      <c r="H111" s="370" t="s">
        <v>565</v>
      </c>
      <c r="I111" s="371" t="s">
        <v>566</v>
      </c>
      <c r="J111" s="370"/>
      <c r="K111" s="370" t="s">
        <v>485</v>
      </c>
      <c r="L111" s="370"/>
      <c r="M111" s="370"/>
      <c r="N111" s="390"/>
      <c r="O111" s="390"/>
      <c r="P111" s="390"/>
      <c r="Q111" s="390"/>
      <c r="R111" s="390"/>
      <c r="S111" s="369"/>
      <c r="T111" s="372"/>
      <c r="U111" s="370"/>
      <c r="V111" s="370" t="s">
        <v>32</v>
      </c>
      <c r="W111" s="370" t="s">
        <v>567</v>
      </c>
      <c r="X111" s="370" t="s">
        <v>568</v>
      </c>
      <c r="Y111" s="369">
        <v>75</v>
      </c>
      <c r="Z111" s="373">
        <v>0</v>
      </c>
      <c r="AA111" s="369">
        <v>92</v>
      </c>
      <c r="AB111" s="373">
        <v>15.22</v>
      </c>
    </row>
    <row r="112" spans="1:28" s="391" customFormat="1" x14ac:dyDescent="0.25">
      <c r="A112" s="460"/>
      <c r="B112" s="389" t="s">
        <v>153</v>
      </c>
      <c r="C112" s="369">
        <v>2</v>
      </c>
      <c r="D112" s="370">
        <v>111551691</v>
      </c>
      <c r="E112" s="369" t="s">
        <v>43</v>
      </c>
      <c r="F112" s="369" t="s">
        <v>24</v>
      </c>
      <c r="G112" s="372" t="s">
        <v>25</v>
      </c>
      <c r="H112" s="370" t="s">
        <v>26</v>
      </c>
      <c r="I112" s="371" t="s">
        <v>569</v>
      </c>
      <c r="J112" s="370" t="s">
        <v>570</v>
      </c>
      <c r="K112" s="370" t="s">
        <v>29</v>
      </c>
      <c r="L112" s="370" t="s">
        <v>39</v>
      </c>
      <c r="M112" s="370" t="s">
        <v>51</v>
      </c>
      <c r="N112" s="390"/>
      <c r="O112" s="390"/>
      <c r="P112" s="390"/>
      <c r="Q112" s="390"/>
      <c r="R112" s="390"/>
      <c r="S112" s="369"/>
      <c r="T112" s="372"/>
      <c r="U112" s="370"/>
      <c r="V112" s="370" t="s">
        <v>571</v>
      </c>
      <c r="W112" s="370" t="s">
        <v>572</v>
      </c>
      <c r="X112" s="370" t="s">
        <v>573</v>
      </c>
      <c r="Y112" s="369">
        <v>95</v>
      </c>
      <c r="Z112" s="373">
        <v>0</v>
      </c>
      <c r="AA112" s="369">
        <v>61</v>
      </c>
      <c r="AB112" s="373">
        <v>14.75</v>
      </c>
    </row>
    <row r="113" spans="1:28" s="391" customFormat="1" x14ac:dyDescent="0.25">
      <c r="A113" s="460"/>
      <c r="B113" s="392" t="s">
        <v>153</v>
      </c>
      <c r="C113" s="374">
        <v>2</v>
      </c>
      <c r="D113" s="375">
        <v>203003189</v>
      </c>
      <c r="E113" s="374" t="s">
        <v>23</v>
      </c>
      <c r="F113" s="374" t="s">
        <v>35</v>
      </c>
      <c r="G113" s="380" t="s">
        <v>25</v>
      </c>
      <c r="H113" s="375" t="s">
        <v>26</v>
      </c>
      <c r="I113" s="371" t="s">
        <v>574</v>
      </c>
      <c r="J113" s="375" t="s">
        <v>575</v>
      </c>
      <c r="K113" s="375" t="s">
        <v>29</v>
      </c>
      <c r="L113" s="375"/>
      <c r="M113" s="375"/>
      <c r="N113" s="390"/>
      <c r="O113" s="390"/>
      <c r="P113" s="390"/>
      <c r="Q113" s="390"/>
      <c r="R113" s="390"/>
      <c r="S113" s="374"/>
      <c r="T113" s="376"/>
      <c r="U113" s="375"/>
      <c r="V113" s="375" t="s">
        <v>576</v>
      </c>
      <c r="W113" s="375" t="s">
        <v>577</v>
      </c>
      <c r="X113" s="375" t="s">
        <v>578</v>
      </c>
      <c r="Y113" s="374">
        <v>77</v>
      </c>
      <c r="Z113" s="377">
        <v>0</v>
      </c>
      <c r="AA113" s="374">
        <v>86</v>
      </c>
      <c r="AB113" s="378">
        <v>10.4</v>
      </c>
    </row>
    <row r="114" spans="1:28" s="390" customFormat="1" x14ac:dyDescent="0.25">
      <c r="A114" s="460"/>
      <c r="B114" s="389" t="s">
        <v>153</v>
      </c>
      <c r="C114" s="369">
        <v>3</v>
      </c>
      <c r="D114" s="370">
        <v>39185664</v>
      </c>
      <c r="E114" s="369" t="s">
        <v>23</v>
      </c>
      <c r="F114" s="369" t="s">
        <v>43</v>
      </c>
      <c r="G114" s="372" t="s">
        <v>25</v>
      </c>
      <c r="H114" s="370" t="s">
        <v>26</v>
      </c>
      <c r="I114" s="371" t="s">
        <v>580</v>
      </c>
      <c r="J114" s="370" t="s">
        <v>581</v>
      </c>
      <c r="K114" s="370" t="s">
        <v>29</v>
      </c>
      <c r="L114" s="370" t="s">
        <v>39</v>
      </c>
      <c r="M114" s="370" t="s">
        <v>56</v>
      </c>
      <c r="N114" s="390">
        <v>753190970</v>
      </c>
      <c r="Q114" s="390" t="s">
        <v>4181</v>
      </c>
      <c r="S114" s="369"/>
      <c r="T114" s="379"/>
      <c r="U114" s="370"/>
      <c r="V114" s="370" t="s">
        <v>582</v>
      </c>
      <c r="W114" s="370" t="s">
        <v>583</v>
      </c>
      <c r="X114" s="370" t="s">
        <v>584</v>
      </c>
      <c r="Y114" s="369">
        <v>63</v>
      </c>
      <c r="Z114" s="373">
        <v>0</v>
      </c>
      <c r="AA114" s="369">
        <v>55</v>
      </c>
      <c r="AB114" s="373">
        <v>20</v>
      </c>
    </row>
    <row r="115" spans="1:28" s="390" customFormat="1" x14ac:dyDescent="0.25">
      <c r="A115" s="460"/>
      <c r="B115" s="392" t="s">
        <v>153</v>
      </c>
      <c r="C115" s="374">
        <v>3</v>
      </c>
      <c r="D115" s="375">
        <v>108220692</v>
      </c>
      <c r="E115" s="374" t="s">
        <v>35</v>
      </c>
      <c r="F115" s="374" t="s">
        <v>43</v>
      </c>
      <c r="G115" s="380" t="s">
        <v>25</v>
      </c>
      <c r="H115" s="375" t="s">
        <v>26</v>
      </c>
      <c r="I115" s="371" t="s">
        <v>585</v>
      </c>
      <c r="J115" s="375" t="s">
        <v>586</v>
      </c>
      <c r="K115" s="375" t="s">
        <v>29</v>
      </c>
      <c r="L115" s="375" t="s">
        <v>30</v>
      </c>
      <c r="M115" s="375" t="s">
        <v>51</v>
      </c>
      <c r="N115" s="390">
        <v>1159084370</v>
      </c>
      <c r="R115" s="484"/>
      <c r="S115" s="374"/>
      <c r="T115" s="376"/>
      <c r="U115" s="375"/>
      <c r="V115" s="375" t="s">
        <v>93</v>
      </c>
      <c r="W115" s="375" t="s">
        <v>587</v>
      </c>
      <c r="X115" s="375" t="s">
        <v>588</v>
      </c>
      <c r="Y115" s="374">
        <v>62</v>
      </c>
      <c r="Z115" s="377">
        <v>0</v>
      </c>
      <c r="AA115" s="374">
        <v>79</v>
      </c>
      <c r="AB115" s="378">
        <v>10.1</v>
      </c>
    </row>
    <row r="116" spans="1:28" s="390" customFormat="1" x14ac:dyDescent="0.25">
      <c r="A116" s="460"/>
      <c r="B116" s="389" t="s">
        <v>153</v>
      </c>
      <c r="C116" s="369">
        <v>4</v>
      </c>
      <c r="D116" s="370">
        <v>2954064</v>
      </c>
      <c r="E116" s="369" t="s">
        <v>24</v>
      </c>
      <c r="F116" s="369" t="s">
        <v>35</v>
      </c>
      <c r="G116" s="372" t="s">
        <v>25</v>
      </c>
      <c r="H116" s="370" t="s">
        <v>589</v>
      </c>
      <c r="I116" s="371" t="s">
        <v>590</v>
      </c>
      <c r="J116" s="370" t="s">
        <v>591</v>
      </c>
      <c r="K116" s="370" t="s">
        <v>29</v>
      </c>
      <c r="L116" s="370" t="s">
        <v>30</v>
      </c>
      <c r="M116" s="370" t="s">
        <v>31</v>
      </c>
      <c r="S116" s="369"/>
      <c r="T116" s="379"/>
      <c r="U116" s="370"/>
      <c r="V116" s="370" t="s">
        <v>592</v>
      </c>
      <c r="W116" s="370" t="s">
        <v>593</v>
      </c>
      <c r="X116" s="370" t="s">
        <v>594</v>
      </c>
      <c r="Y116" s="369">
        <v>82</v>
      </c>
      <c r="Z116" s="373">
        <v>0</v>
      </c>
      <c r="AA116" s="369">
        <v>75</v>
      </c>
      <c r="AB116" s="373">
        <v>14.67</v>
      </c>
    </row>
    <row r="117" spans="1:28" s="390" customFormat="1" x14ac:dyDescent="0.25">
      <c r="A117" s="460"/>
      <c r="B117" s="389" t="s">
        <v>153</v>
      </c>
      <c r="C117" s="369">
        <v>4</v>
      </c>
      <c r="D117" s="370">
        <v>154542960</v>
      </c>
      <c r="E117" s="369" t="s">
        <v>23</v>
      </c>
      <c r="F117" s="369" t="s">
        <v>24</v>
      </c>
      <c r="G117" s="372" t="s">
        <v>25</v>
      </c>
      <c r="H117" s="370" t="s">
        <v>26</v>
      </c>
      <c r="I117" s="371" t="s">
        <v>595</v>
      </c>
      <c r="J117" s="370" t="s">
        <v>596</v>
      </c>
      <c r="K117" s="370" t="s">
        <v>29</v>
      </c>
      <c r="L117" s="370" t="s">
        <v>39</v>
      </c>
      <c r="M117" s="370" t="s">
        <v>51</v>
      </c>
      <c r="S117" s="369"/>
      <c r="T117" s="379"/>
      <c r="U117" s="370"/>
      <c r="V117" s="370" t="s">
        <v>597</v>
      </c>
      <c r="W117" s="370" t="s">
        <v>598</v>
      </c>
      <c r="X117" s="370" t="s">
        <v>599</v>
      </c>
      <c r="Y117" s="369">
        <v>77</v>
      </c>
      <c r="Z117" s="373">
        <v>0</v>
      </c>
      <c r="AA117" s="369">
        <v>89</v>
      </c>
      <c r="AB117" s="373">
        <v>12.36</v>
      </c>
    </row>
    <row r="118" spans="1:28" s="390" customFormat="1" x14ac:dyDescent="0.25">
      <c r="A118" s="460"/>
      <c r="B118" s="389" t="s">
        <v>153</v>
      </c>
      <c r="C118" s="369">
        <v>5</v>
      </c>
      <c r="D118" s="370">
        <v>14488163</v>
      </c>
      <c r="E118" s="369" t="s">
        <v>35</v>
      </c>
      <c r="F118" s="369" t="s">
        <v>24</v>
      </c>
      <c r="G118" s="372" t="s">
        <v>25</v>
      </c>
      <c r="H118" s="370" t="s">
        <v>600</v>
      </c>
      <c r="I118" s="371" t="s">
        <v>601</v>
      </c>
      <c r="J118" s="370" t="s">
        <v>602</v>
      </c>
      <c r="K118" s="370" t="s">
        <v>29</v>
      </c>
      <c r="L118" s="370"/>
      <c r="M118" s="370" t="s">
        <v>31</v>
      </c>
      <c r="S118" s="369"/>
      <c r="T118" s="379"/>
      <c r="U118" s="370"/>
      <c r="V118" s="370" t="s">
        <v>603</v>
      </c>
      <c r="W118" s="370" t="s">
        <v>604</v>
      </c>
      <c r="X118" s="370" t="s">
        <v>605</v>
      </c>
      <c r="Y118" s="369">
        <v>51</v>
      </c>
      <c r="Z118" s="373">
        <v>0</v>
      </c>
      <c r="AA118" s="369">
        <v>49</v>
      </c>
      <c r="AB118" s="373">
        <v>20.41</v>
      </c>
    </row>
    <row r="119" spans="1:28" s="390" customFormat="1" x14ac:dyDescent="0.25">
      <c r="A119" s="460"/>
      <c r="B119" s="389" t="s">
        <v>153</v>
      </c>
      <c r="C119" s="369">
        <v>5</v>
      </c>
      <c r="D119" s="370">
        <v>77563408</v>
      </c>
      <c r="E119" s="369" t="s">
        <v>35</v>
      </c>
      <c r="F119" s="369" t="s">
        <v>43</v>
      </c>
      <c r="G119" s="372" t="s">
        <v>25</v>
      </c>
      <c r="H119" s="370" t="s">
        <v>267</v>
      </c>
      <c r="I119" s="371" t="s">
        <v>606</v>
      </c>
      <c r="J119" s="370" t="s">
        <v>607</v>
      </c>
      <c r="K119" s="370" t="s">
        <v>29</v>
      </c>
      <c r="L119" s="370" t="s">
        <v>30</v>
      </c>
      <c r="M119" s="370" t="s">
        <v>51</v>
      </c>
      <c r="S119" s="369"/>
      <c r="T119" s="379"/>
      <c r="U119" s="370"/>
      <c r="V119" s="370" t="s">
        <v>608</v>
      </c>
      <c r="W119" s="370" t="s">
        <v>609</v>
      </c>
      <c r="X119" s="370" t="s">
        <v>610</v>
      </c>
      <c r="Y119" s="369">
        <v>77</v>
      </c>
      <c r="Z119" s="373">
        <v>0</v>
      </c>
      <c r="AA119" s="369">
        <v>59</v>
      </c>
      <c r="AB119" s="373">
        <v>18.64</v>
      </c>
    </row>
    <row r="120" spans="1:28" s="390" customFormat="1" x14ac:dyDescent="0.25">
      <c r="A120" s="460"/>
      <c r="B120" s="389" t="s">
        <v>153</v>
      </c>
      <c r="C120" s="369">
        <v>5</v>
      </c>
      <c r="D120" s="370">
        <v>128430596</v>
      </c>
      <c r="E120" s="369" t="s">
        <v>43</v>
      </c>
      <c r="F120" s="369" t="s">
        <v>35</v>
      </c>
      <c r="G120" s="372" t="s">
        <v>25</v>
      </c>
      <c r="H120" s="370" t="s">
        <v>26</v>
      </c>
      <c r="I120" s="371" t="s">
        <v>611</v>
      </c>
      <c r="J120" s="370" t="s">
        <v>612</v>
      </c>
      <c r="K120" s="370" t="s">
        <v>29</v>
      </c>
      <c r="L120" s="370"/>
      <c r="M120" s="370" t="s">
        <v>31</v>
      </c>
      <c r="S120" s="369"/>
      <c r="T120" s="379"/>
      <c r="U120" s="370"/>
      <c r="V120" s="370" t="s">
        <v>613</v>
      </c>
      <c r="W120" s="370" t="s">
        <v>614</v>
      </c>
      <c r="X120" s="370" t="s">
        <v>615</v>
      </c>
      <c r="Y120" s="369">
        <v>58</v>
      </c>
      <c r="Z120" s="373">
        <v>0</v>
      </c>
      <c r="AA120" s="369">
        <v>80</v>
      </c>
      <c r="AB120" s="373">
        <v>15</v>
      </c>
    </row>
    <row r="121" spans="1:28" s="390" customFormat="1" x14ac:dyDescent="0.25">
      <c r="A121" s="460"/>
      <c r="B121" s="389" t="s">
        <v>153</v>
      </c>
      <c r="C121" s="369">
        <v>6</v>
      </c>
      <c r="D121" s="370">
        <v>36291115</v>
      </c>
      <c r="E121" s="369" t="s">
        <v>43</v>
      </c>
      <c r="F121" s="369" t="s">
        <v>24</v>
      </c>
      <c r="G121" s="372" t="s">
        <v>25</v>
      </c>
      <c r="H121" s="370" t="s">
        <v>26</v>
      </c>
      <c r="I121" s="371" t="s">
        <v>616</v>
      </c>
      <c r="J121" s="370" t="s">
        <v>617</v>
      </c>
      <c r="K121" s="370" t="s">
        <v>29</v>
      </c>
      <c r="L121" s="370" t="s">
        <v>30</v>
      </c>
      <c r="M121" s="370" t="s">
        <v>56</v>
      </c>
      <c r="S121" s="369"/>
      <c r="T121" s="379"/>
      <c r="U121" s="370"/>
      <c r="V121" s="370" t="s">
        <v>618</v>
      </c>
      <c r="W121" s="370" t="s">
        <v>619</v>
      </c>
      <c r="X121" s="370" t="s">
        <v>620</v>
      </c>
      <c r="Y121" s="369">
        <v>114</v>
      </c>
      <c r="Z121" s="373">
        <v>0</v>
      </c>
      <c r="AA121" s="369">
        <v>67</v>
      </c>
      <c r="AB121" s="373">
        <v>13.43</v>
      </c>
    </row>
    <row r="122" spans="1:28" s="390" customFormat="1" x14ac:dyDescent="0.25">
      <c r="A122" s="460"/>
      <c r="B122" s="392" t="s">
        <v>153</v>
      </c>
      <c r="C122" s="374">
        <v>6</v>
      </c>
      <c r="D122" s="375">
        <v>46656718</v>
      </c>
      <c r="E122" s="374" t="s">
        <v>23</v>
      </c>
      <c r="F122" s="374" t="s">
        <v>35</v>
      </c>
      <c r="G122" s="380" t="s">
        <v>25</v>
      </c>
      <c r="H122" s="375" t="s">
        <v>600</v>
      </c>
      <c r="I122" s="371" t="s">
        <v>621</v>
      </c>
      <c r="J122" s="375" t="s">
        <v>622</v>
      </c>
      <c r="K122" s="375" t="s">
        <v>29</v>
      </c>
      <c r="L122" s="375" t="s">
        <v>39</v>
      </c>
      <c r="M122" s="375" t="s">
        <v>31</v>
      </c>
      <c r="S122" s="374"/>
      <c r="T122" s="376"/>
      <c r="U122" s="375"/>
      <c r="V122" s="375" t="s">
        <v>623</v>
      </c>
      <c r="W122" s="375" t="s">
        <v>624</v>
      </c>
      <c r="X122" s="375" t="s">
        <v>625</v>
      </c>
      <c r="Y122" s="374">
        <v>84</v>
      </c>
      <c r="Z122" s="377">
        <v>0</v>
      </c>
      <c r="AA122" s="374">
        <v>60</v>
      </c>
      <c r="AB122" s="378">
        <v>10</v>
      </c>
    </row>
    <row r="123" spans="1:28" s="390" customFormat="1" x14ac:dyDescent="0.25">
      <c r="A123" s="460"/>
      <c r="B123" s="392" t="s">
        <v>153</v>
      </c>
      <c r="C123" s="374">
        <v>7</v>
      </c>
      <c r="D123" s="375">
        <v>6693590</v>
      </c>
      <c r="E123" s="374" t="s">
        <v>23</v>
      </c>
      <c r="F123" s="374" t="s">
        <v>24</v>
      </c>
      <c r="G123" s="380" t="s">
        <v>25</v>
      </c>
      <c r="H123" s="375" t="s">
        <v>26</v>
      </c>
      <c r="I123" s="371" t="s">
        <v>626</v>
      </c>
      <c r="J123" s="375" t="s">
        <v>627</v>
      </c>
      <c r="K123" s="375" t="s">
        <v>29</v>
      </c>
      <c r="L123" s="375" t="s">
        <v>30</v>
      </c>
      <c r="M123" s="375"/>
      <c r="S123" s="374"/>
      <c r="T123" s="376"/>
      <c r="U123" s="375"/>
      <c r="V123" s="375" t="s">
        <v>223</v>
      </c>
      <c r="W123" s="375" t="s">
        <v>628</v>
      </c>
      <c r="X123" s="375" t="s">
        <v>629</v>
      </c>
      <c r="Y123" s="374"/>
      <c r="Z123" s="377">
        <v>0</v>
      </c>
      <c r="AA123" s="374">
        <v>64</v>
      </c>
      <c r="AB123" s="378">
        <f>(7/AA123)*100</f>
        <v>10.9375</v>
      </c>
    </row>
    <row r="124" spans="1:28" s="390" customFormat="1" x14ac:dyDescent="0.25">
      <c r="A124" s="460"/>
      <c r="B124" s="392" t="s">
        <v>153</v>
      </c>
      <c r="C124" s="374">
        <v>7</v>
      </c>
      <c r="D124" s="375">
        <v>38836401</v>
      </c>
      <c r="E124" s="374" t="s">
        <v>23</v>
      </c>
      <c r="F124" s="374" t="s">
        <v>35</v>
      </c>
      <c r="G124" s="380" t="s">
        <v>25</v>
      </c>
      <c r="H124" s="375" t="s">
        <v>26</v>
      </c>
      <c r="I124" s="371" t="s">
        <v>630</v>
      </c>
      <c r="J124" s="375" t="s">
        <v>631</v>
      </c>
      <c r="K124" s="375" t="s">
        <v>29</v>
      </c>
      <c r="L124" s="375" t="s">
        <v>30</v>
      </c>
      <c r="M124" s="375" t="s">
        <v>56</v>
      </c>
      <c r="S124" s="374"/>
      <c r="T124" s="376"/>
      <c r="U124" s="375"/>
      <c r="V124" s="375" t="s">
        <v>632</v>
      </c>
      <c r="W124" s="375" t="s">
        <v>633</v>
      </c>
      <c r="X124" s="375" t="s">
        <v>634</v>
      </c>
      <c r="Y124" s="374">
        <v>109</v>
      </c>
      <c r="Z124" s="377">
        <v>0</v>
      </c>
      <c r="AA124" s="374">
        <v>120</v>
      </c>
      <c r="AB124" s="377">
        <v>10.83</v>
      </c>
    </row>
    <row r="125" spans="1:28" s="390" customFormat="1" x14ac:dyDescent="0.25">
      <c r="A125" s="460"/>
      <c r="B125" s="392" t="s">
        <v>153</v>
      </c>
      <c r="C125" s="374">
        <v>7</v>
      </c>
      <c r="D125" s="375">
        <v>100806698</v>
      </c>
      <c r="E125" s="374" t="s">
        <v>35</v>
      </c>
      <c r="F125" s="374" t="s">
        <v>43</v>
      </c>
      <c r="G125" s="380" t="s">
        <v>25</v>
      </c>
      <c r="H125" s="375" t="s">
        <v>36</v>
      </c>
      <c r="I125" s="371" t="s">
        <v>635</v>
      </c>
      <c r="J125" s="375" t="s">
        <v>636</v>
      </c>
      <c r="K125" s="375" t="s">
        <v>29</v>
      </c>
      <c r="L125" s="375" t="s">
        <v>39</v>
      </c>
      <c r="M125" s="375" t="s">
        <v>56</v>
      </c>
      <c r="N125" s="390">
        <v>1259449381</v>
      </c>
      <c r="S125" s="374"/>
      <c r="T125" s="380"/>
      <c r="U125" s="375"/>
      <c r="V125" s="375" t="s">
        <v>238</v>
      </c>
      <c r="W125" s="375" t="s">
        <v>637</v>
      </c>
      <c r="X125" s="375" t="s">
        <v>638</v>
      </c>
      <c r="Y125" s="374"/>
      <c r="Z125" s="377">
        <v>0</v>
      </c>
      <c r="AA125" s="374">
        <v>69</v>
      </c>
      <c r="AB125" s="378">
        <v>11</v>
      </c>
    </row>
    <row r="126" spans="1:28" s="390" customFormat="1" x14ac:dyDescent="0.25">
      <c r="A126" s="460"/>
      <c r="B126" s="389" t="s">
        <v>153</v>
      </c>
      <c r="C126" s="369">
        <v>7</v>
      </c>
      <c r="D126" s="370">
        <v>127014767</v>
      </c>
      <c r="E126" s="369" t="s">
        <v>24</v>
      </c>
      <c r="F126" s="369" t="s">
        <v>23</v>
      </c>
      <c r="G126" s="372" t="s">
        <v>25</v>
      </c>
      <c r="H126" s="370" t="s">
        <v>26</v>
      </c>
      <c r="I126" s="371" t="s">
        <v>639</v>
      </c>
      <c r="J126" s="370" t="s">
        <v>640</v>
      </c>
      <c r="K126" s="370" t="s">
        <v>29</v>
      </c>
      <c r="L126" s="370" t="s">
        <v>39</v>
      </c>
      <c r="M126" s="370" t="s">
        <v>51</v>
      </c>
      <c r="S126" s="369"/>
      <c r="T126" s="372"/>
      <c r="U126" s="370"/>
      <c r="V126" s="370" t="s">
        <v>641</v>
      </c>
      <c r="W126" s="370" t="s">
        <v>642</v>
      </c>
      <c r="X126" s="370" t="s">
        <v>643</v>
      </c>
      <c r="Y126" s="369">
        <v>105</v>
      </c>
      <c r="Z126" s="373">
        <v>0</v>
      </c>
      <c r="AA126" s="369">
        <v>133</v>
      </c>
      <c r="AB126" s="373">
        <v>12.78</v>
      </c>
    </row>
    <row r="127" spans="1:28" s="390" customFormat="1" x14ac:dyDescent="0.25">
      <c r="A127" s="460"/>
      <c r="B127" s="389" t="s">
        <v>153</v>
      </c>
      <c r="C127" s="369">
        <v>7</v>
      </c>
      <c r="D127" s="370">
        <v>127239548</v>
      </c>
      <c r="E127" s="369" t="s">
        <v>43</v>
      </c>
      <c r="F127" s="369" t="s">
        <v>24</v>
      </c>
      <c r="G127" s="372" t="s">
        <v>25</v>
      </c>
      <c r="H127" s="370" t="s">
        <v>26</v>
      </c>
      <c r="I127" s="371" t="s">
        <v>644</v>
      </c>
      <c r="J127" s="370" t="s">
        <v>645</v>
      </c>
      <c r="K127" s="370" t="s">
        <v>29</v>
      </c>
      <c r="L127" s="370"/>
      <c r="M127" s="370" t="s">
        <v>56</v>
      </c>
      <c r="S127" s="369"/>
      <c r="T127" s="372"/>
      <c r="U127" s="370"/>
      <c r="V127" s="370" t="s">
        <v>562</v>
      </c>
      <c r="W127" s="370" t="s">
        <v>646</v>
      </c>
      <c r="X127" s="370" t="s">
        <v>647</v>
      </c>
      <c r="Y127" s="369">
        <v>96</v>
      </c>
      <c r="Z127" s="373">
        <v>0</v>
      </c>
      <c r="AA127" s="369">
        <v>109</v>
      </c>
      <c r="AB127" s="373">
        <v>18.350000000000001</v>
      </c>
    </row>
    <row r="128" spans="1:28" s="390" customFormat="1" x14ac:dyDescent="0.25">
      <c r="A128" s="460"/>
      <c r="B128" s="389" t="s">
        <v>153</v>
      </c>
      <c r="C128" s="369">
        <v>7</v>
      </c>
      <c r="D128" s="370">
        <v>150325073</v>
      </c>
      <c r="E128" s="369" t="s">
        <v>23</v>
      </c>
      <c r="F128" s="369" t="s">
        <v>43</v>
      </c>
      <c r="G128" s="372" t="s">
        <v>25</v>
      </c>
      <c r="H128" s="370" t="s">
        <v>519</v>
      </c>
      <c r="I128" s="371" t="s">
        <v>523</v>
      </c>
      <c r="J128" s="370" t="s">
        <v>524</v>
      </c>
      <c r="K128" s="370" t="s">
        <v>29</v>
      </c>
      <c r="L128" s="370" t="s">
        <v>30</v>
      </c>
      <c r="M128" s="370" t="s">
        <v>51</v>
      </c>
      <c r="N128" s="390">
        <v>761278781</v>
      </c>
      <c r="Q128" s="390" t="s">
        <v>4181</v>
      </c>
      <c r="S128" s="369"/>
      <c r="T128" s="372"/>
      <c r="U128" s="370"/>
      <c r="V128" s="370" t="s">
        <v>249</v>
      </c>
      <c r="W128" s="370" t="s">
        <v>525</v>
      </c>
      <c r="X128" s="370" t="s">
        <v>526</v>
      </c>
      <c r="Y128" s="369">
        <v>102</v>
      </c>
      <c r="Z128" s="373">
        <v>1</v>
      </c>
      <c r="AA128" s="369">
        <v>117</v>
      </c>
      <c r="AB128" s="381">
        <v>10.3</v>
      </c>
    </row>
    <row r="129" spans="1:28" s="390" customFormat="1" x14ac:dyDescent="0.25">
      <c r="A129" s="460"/>
      <c r="B129" s="389" t="s">
        <v>153</v>
      </c>
      <c r="C129" s="369">
        <v>7</v>
      </c>
      <c r="D129" s="370">
        <v>150389621</v>
      </c>
      <c r="E129" s="369" t="s">
        <v>24</v>
      </c>
      <c r="F129" s="369" t="s">
        <v>23</v>
      </c>
      <c r="G129" s="372" t="s">
        <v>25</v>
      </c>
      <c r="H129" s="370" t="s">
        <v>26</v>
      </c>
      <c r="I129" s="371" t="s">
        <v>527</v>
      </c>
      <c r="J129" s="370" t="s">
        <v>528</v>
      </c>
      <c r="K129" s="370" t="s">
        <v>29</v>
      </c>
      <c r="L129" s="370" t="s">
        <v>39</v>
      </c>
      <c r="M129" s="370" t="s">
        <v>56</v>
      </c>
      <c r="S129" s="369"/>
      <c r="T129" s="372"/>
      <c r="U129" s="370"/>
      <c r="V129" s="370" t="s">
        <v>249</v>
      </c>
      <c r="W129" s="370" t="s">
        <v>529</v>
      </c>
      <c r="X129" s="370" t="s">
        <v>530</v>
      </c>
      <c r="Y129" s="369">
        <v>113</v>
      </c>
      <c r="Z129" s="373">
        <v>1</v>
      </c>
      <c r="AA129" s="369">
        <v>125</v>
      </c>
      <c r="AB129" s="373">
        <v>20</v>
      </c>
    </row>
    <row r="130" spans="1:28" s="390" customFormat="1" x14ac:dyDescent="0.25">
      <c r="A130" s="460"/>
      <c r="B130" s="389" t="s">
        <v>153</v>
      </c>
      <c r="C130" s="369">
        <v>8</v>
      </c>
      <c r="D130" s="370">
        <v>99961149</v>
      </c>
      <c r="E130" s="369" t="s">
        <v>24</v>
      </c>
      <c r="F130" s="369" t="s">
        <v>23</v>
      </c>
      <c r="G130" s="372" t="s">
        <v>25</v>
      </c>
      <c r="H130" s="370" t="s">
        <v>128</v>
      </c>
      <c r="I130" s="371" t="s">
        <v>648</v>
      </c>
      <c r="J130" s="370" t="s">
        <v>649</v>
      </c>
      <c r="K130" s="370" t="s">
        <v>29</v>
      </c>
      <c r="L130" s="370"/>
      <c r="M130" s="370"/>
      <c r="S130" s="369"/>
      <c r="T130" s="372"/>
      <c r="U130" s="370"/>
      <c r="V130" s="370" t="s">
        <v>650</v>
      </c>
      <c r="W130" s="370" t="s">
        <v>651</v>
      </c>
      <c r="X130" s="370" t="s">
        <v>652</v>
      </c>
      <c r="Y130" s="369">
        <v>105</v>
      </c>
      <c r="Z130" s="373">
        <v>0</v>
      </c>
      <c r="AA130" s="369">
        <v>61</v>
      </c>
      <c r="AB130" s="373">
        <v>22.95</v>
      </c>
    </row>
    <row r="131" spans="1:28" s="390" customFormat="1" x14ac:dyDescent="0.25">
      <c r="A131" s="460"/>
      <c r="B131" s="389" t="s">
        <v>153</v>
      </c>
      <c r="C131" s="369">
        <v>8</v>
      </c>
      <c r="D131" s="370">
        <v>134147002</v>
      </c>
      <c r="E131" s="369" t="s">
        <v>23</v>
      </c>
      <c r="F131" s="369" t="s">
        <v>35</v>
      </c>
      <c r="G131" s="372" t="s">
        <v>25</v>
      </c>
      <c r="H131" s="370" t="s">
        <v>26</v>
      </c>
      <c r="I131" s="371" t="s">
        <v>653</v>
      </c>
      <c r="J131" s="370" t="s">
        <v>654</v>
      </c>
      <c r="K131" s="370" t="s">
        <v>29</v>
      </c>
      <c r="L131" s="370"/>
      <c r="M131" s="370" t="s">
        <v>51</v>
      </c>
      <c r="S131" s="369"/>
      <c r="T131" s="372"/>
      <c r="U131" s="370"/>
      <c r="V131" s="370" t="s">
        <v>433</v>
      </c>
      <c r="W131" s="370" t="s">
        <v>655</v>
      </c>
      <c r="X131" s="370" t="s">
        <v>656</v>
      </c>
      <c r="Y131" s="369">
        <v>76</v>
      </c>
      <c r="Z131" s="373">
        <v>0</v>
      </c>
      <c r="AA131" s="369">
        <v>73</v>
      </c>
      <c r="AB131" s="373">
        <v>15.07</v>
      </c>
    </row>
    <row r="132" spans="1:28" s="390" customFormat="1" x14ac:dyDescent="0.25">
      <c r="A132" s="460"/>
      <c r="B132" s="389" t="s">
        <v>153</v>
      </c>
      <c r="C132" s="369">
        <v>8</v>
      </c>
      <c r="D132" s="370">
        <v>134147003</v>
      </c>
      <c r="E132" s="369" t="s">
        <v>23</v>
      </c>
      <c r="F132" s="369" t="s">
        <v>24</v>
      </c>
      <c r="G132" s="372" t="s">
        <v>25</v>
      </c>
      <c r="H132" s="370" t="s">
        <v>26</v>
      </c>
      <c r="I132" s="371" t="s">
        <v>653</v>
      </c>
      <c r="J132" s="370" t="s">
        <v>657</v>
      </c>
      <c r="K132" s="370" t="s">
        <v>29</v>
      </c>
      <c r="L132" s="370"/>
      <c r="M132" s="370" t="s">
        <v>51</v>
      </c>
      <c r="S132" s="369"/>
      <c r="T132" s="372"/>
      <c r="U132" s="370"/>
      <c r="V132" s="370" t="s">
        <v>433</v>
      </c>
      <c r="W132" s="370" t="s">
        <v>655</v>
      </c>
      <c r="X132" s="370" t="s">
        <v>658</v>
      </c>
      <c r="Y132" s="369">
        <v>78</v>
      </c>
      <c r="Z132" s="373">
        <v>0</v>
      </c>
      <c r="AA132" s="369">
        <v>74</v>
      </c>
      <c r="AB132" s="373">
        <v>14.86</v>
      </c>
    </row>
    <row r="133" spans="1:28" s="391" customFormat="1" x14ac:dyDescent="0.25">
      <c r="A133" s="460"/>
      <c r="B133" s="389" t="s">
        <v>153</v>
      </c>
      <c r="C133" s="369">
        <v>9</v>
      </c>
      <c r="D133" s="370">
        <v>69424019</v>
      </c>
      <c r="E133" s="369" t="s">
        <v>43</v>
      </c>
      <c r="F133" s="369" t="s">
        <v>35</v>
      </c>
      <c r="G133" s="372" t="s">
        <v>25</v>
      </c>
      <c r="H133" s="370" t="s">
        <v>73</v>
      </c>
      <c r="I133" s="371" t="s">
        <v>659</v>
      </c>
      <c r="J133" s="370" t="s">
        <v>660</v>
      </c>
      <c r="K133" s="370" t="s">
        <v>29</v>
      </c>
      <c r="L133" s="370" t="s">
        <v>39</v>
      </c>
      <c r="M133" s="370" t="s">
        <v>51</v>
      </c>
      <c r="N133" s="390">
        <v>1389134580</v>
      </c>
      <c r="O133" s="390"/>
      <c r="P133" s="390"/>
      <c r="Q133" s="390"/>
      <c r="R133" s="390" t="s">
        <v>4190</v>
      </c>
      <c r="S133" s="369"/>
      <c r="T133" s="372">
        <v>4007251</v>
      </c>
      <c r="U133" s="370"/>
      <c r="V133" s="370" t="s">
        <v>410</v>
      </c>
      <c r="W133" s="370" t="s">
        <v>661</v>
      </c>
      <c r="X133" s="370" t="s">
        <v>662</v>
      </c>
      <c r="Y133" s="369">
        <v>64</v>
      </c>
      <c r="Z133" s="373">
        <v>0</v>
      </c>
      <c r="AA133" s="369">
        <v>30</v>
      </c>
      <c r="AB133" s="373">
        <v>20</v>
      </c>
    </row>
    <row r="134" spans="1:28" s="391" customFormat="1" x14ac:dyDescent="0.25">
      <c r="A134" s="460"/>
      <c r="B134" s="389" t="s">
        <v>153</v>
      </c>
      <c r="C134" s="369">
        <v>9</v>
      </c>
      <c r="D134" s="370">
        <v>74863193</v>
      </c>
      <c r="E134" s="369" t="s">
        <v>43</v>
      </c>
      <c r="F134" s="369" t="s">
        <v>24</v>
      </c>
      <c r="G134" s="372" t="s">
        <v>25</v>
      </c>
      <c r="H134" s="370" t="s">
        <v>663</v>
      </c>
      <c r="I134" s="371" t="s">
        <v>664</v>
      </c>
      <c r="J134" s="370" t="s">
        <v>665</v>
      </c>
      <c r="K134" s="370" t="s">
        <v>29</v>
      </c>
      <c r="L134" s="370" t="s">
        <v>30</v>
      </c>
      <c r="M134" s="370" t="s">
        <v>56</v>
      </c>
      <c r="N134" s="390"/>
      <c r="O134" s="390"/>
      <c r="P134" s="390"/>
      <c r="Q134" s="390"/>
      <c r="R134" s="390"/>
      <c r="S134" s="369"/>
      <c r="T134" s="372"/>
      <c r="U134" s="370"/>
      <c r="V134" s="370" t="s">
        <v>666</v>
      </c>
      <c r="W134" s="370" t="s">
        <v>667</v>
      </c>
      <c r="X134" s="370" t="s">
        <v>668</v>
      </c>
      <c r="Y134" s="369">
        <v>70</v>
      </c>
      <c r="Z134" s="373">
        <v>0</v>
      </c>
      <c r="AA134" s="369">
        <v>58</v>
      </c>
      <c r="AB134" s="373">
        <v>17.239999999999998</v>
      </c>
    </row>
    <row r="135" spans="1:28" s="391" customFormat="1" x14ac:dyDescent="0.25">
      <c r="A135" s="460"/>
      <c r="B135" s="389" t="s">
        <v>153</v>
      </c>
      <c r="C135" s="369">
        <v>9</v>
      </c>
      <c r="D135" s="370">
        <v>135919137</v>
      </c>
      <c r="E135" s="369" t="s">
        <v>43</v>
      </c>
      <c r="F135" s="369" t="s">
        <v>23</v>
      </c>
      <c r="G135" s="372" t="s">
        <v>25</v>
      </c>
      <c r="H135" s="370" t="s">
        <v>589</v>
      </c>
      <c r="I135" s="371" t="s">
        <v>669</v>
      </c>
      <c r="J135" s="370" t="s">
        <v>670</v>
      </c>
      <c r="K135" s="370" t="s">
        <v>29</v>
      </c>
      <c r="L135" s="370" t="s">
        <v>30</v>
      </c>
      <c r="M135" s="370" t="s">
        <v>56</v>
      </c>
      <c r="N135" s="390"/>
      <c r="O135" s="390"/>
      <c r="P135" s="390"/>
      <c r="Q135" s="390"/>
      <c r="R135" s="390"/>
      <c r="S135" s="369"/>
      <c r="T135" s="372"/>
      <c r="U135" s="370"/>
      <c r="V135" s="370" t="s">
        <v>671</v>
      </c>
      <c r="W135" s="370" t="s">
        <v>672</v>
      </c>
      <c r="X135" s="370" t="s">
        <v>673</v>
      </c>
      <c r="Y135" s="369">
        <v>84</v>
      </c>
      <c r="Z135" s="373">
        <v>0</v>
      </c>
      <c r="AA135" s="369">
        <v>41</v>
      </c>
      <c r="AB135" s="373">
        <v>24.39</v>
      </c>
    </row>
    <row r="136" spans="1:28" s="390" customFormat="1" x14ac:dyDescent="0.25">
      <c r="A136" s="460"/>
      <c r="B136" s="389" t="s">
        <v>153</v>
      </c>
      <c r="C136" s="369">
        <v>10</v>
      </c>
      <c r="D136" s="370">
        <v>93425</v>
      </c>
      <c r="E136" s="369" t="s">
        <v>35</v>
      </c>
      <c r="F136" s="369" t="s">
        <v>43</v>
      </c>
      <c r="G136" s="372" t="s">
        <v>25</v>
      </c>
      <c r="H136" s="370" t="s">
        <v>519</v>
      </c>
      <c r="I136" s="371" t="s">
        <v>436</v>
      </c>
      <c r="J136" s="370" t="s">
        <v>520</v>
      </c>
      <c r="K136" s="370" t="s">
        <v>29</v>
      </c>
      <c r="L136" s="370" t="s">
        <v>30</v>
      </c>
      <c r="M136" s="370" t="s">
        <v>56</v>
      </c>
      <c r="N136" s="390">
        <v>41304577</v>
      </c>
      <c r="Q136" s="390" t="s">
        <v>4191</v>
      </c>
      <c r="R136" s="390" t="s">
        <v>4192</v>
      </c>
      <c r="S136" s="369"/>
      <c r="T136" s="372"/>
      <c r="U136" s="370"/>
      <c r="V136" s="370" t="s">
        <v>438</v>
      </c>
      <c r="W136" s="370" t="s">
        <v>521</v>
      </c>
      <c r="X136" s="370" t="s">
        <v>522</v>
      </c>
      <c r="Y136" s="369">
        <v>98</v>
      </c>
      <c r="Z136" s="373">
        <v>1</v>
      </c>
      <c r="AA136" s="369">
        <v>69</v>
      </c>
      <c r="AB136" s="382">
        <v>10.1</v>
      </c>
    </row>
    <row r="137" spans="1:28" s="390" customFormat="1" x14ac:dyDescent="0.25">
      <c r="A137" s="460"/>
      <c r="B137" s="389" t="s">
        <v>153</v>
      </c>
      <c r="C137" s="369">
        <v>10</v>
      </c>
      <c r="D137" s="370">
        <v>50873067</v>
      </c>
      <c r="E137" s="369" t="s">
        <v>674</v>
      </c>
      <c r="F137" s="369"/>
      <c r="G137" s="372" t="s">
        <v>61</v>
      </c>
      <c r="H137" s="370" t="s">
        <v>26</v>
      </c>
      <c r="I137" s="371" t="s">
        <v>675</v>
      </c>
      <c r="J137" s="370" t="s">
        <v>676</v>
      </c>
      <c r="K137" s="370" t="s">
        <v>81</v>
      </c>
      <c r="L137" s="370"/>
      <c r="M137" s="370"/>
      <c r="S137" s="369"/>
      <c r="T137" s="372"/>
      <c r="U137" s="370"/>
      <c r="V137" s="370" t="s">
        <v>141</v>
      </c>
      <c r="W137" s="370" t="s">
        <v>677</v>
      </c>
      <c r="X137" s="370" t="s">
        <v>678</v>
      </c>
      <c r="Y137" s="369">
        <v>70</v>
      </c>
      <c r="Z137" s="373">
        <v>0</v>
      </c>
      <c r="AA137" s="369">
        <v>72</v>
      </c>
      <c r="AB137" s="373">
        <v>23.61</v>
      </c>
    </row>
    <row r="138" spans="1:28" s="390" customFormat="1" x14ac:dyDescent="0.25">
      <c r="A138" s="460"/>
      <c r="B138" s="389" t="s">
        <v>153</v>
      </c>
      <c r="C138" s="369">
        <v>10</v>
      </c>
      <c r="D138" s="370">
        <v>52596055</v>
      </c>
      <c r="E138" s="369" t="s">
        <v>23</v>
      </c>
      <c r="F138" s="369" t="s">
        <v>24</v>
      </c>
      <c r="G138" s="372" t="s">
        <v>25</v>
      </c>
      <c r="H138" s="370" t="s">
        <v>26</v>
      </c>
      <c r="I138" s="371" t="s">
        <v>679</v>
      </c>
      <c r="J138" s="370" t="s">
        <v>680</v>
      </c>
      <c r="K138" s="370" t="s">
        <v>29</v>
      </c>
      <c r="L138" s="370" t="s">
        <v>30</v>
      </c>
      <c r="M138" s="370" t="s">
        <v>51</v>
      </c>
      <c r="N138" s="390">
        <v>1378673376</v>
      </c>
      <c r="R138" s="390" t="s">
        <v>4181</v>
      </c>
      <c r="S138" s="369"/>
      <c r="T138" s="372"/>
      <c r="U138" s="370"/>
      <c r="V138" s="370" t="s">
        <v>141</v>
      </c>
      <c r="W138" s="370" t="s">
        <v>681</v>
      </c>
      <c r="X138" s="370" t="s">
        <v>682</v>
      </c>
      <c r="Y138" s="369">
        <v>93</v>
      </c>
      <c r="Z138" s="373">
        <v>0</v>
      </c>
      <c r="AA138" s="369">
        <v>54</v>
      </c>
      <c r="AB138" s="373">
        <v>27.78</v>
      </c>
    </row>
    <row r="139" spans="1:28" s="390" customFormat="1" x14ac:dyDescent="0.25">
      <c r="A139" s="460"/>
      <c r="B139" s="389" t="s">
        <v>153</v>
      </c>
      <c r="C139" s="369">
        <v>10</v>
      </c>
      <c r="D139" s="370">
        <v>97516005</v>
      </c>
      <c r="E139" s="369" t="s">
        <v>24</v>
      </c>
      <c r="F139" s="369" t="s">
        <v>35</v>
      </c>
      <c r="G139" s="372" t="s">
        <v>25</v>
      </c>
      <c r="H139" s="370" t="s">
        <v>683</v>
      </c>
      <c r="I139" s="371" t="s">
        <v>684</v>
      </c>
      <c r="J139" s="370" t="s">
        <v>685</v>
      </c>
      <c r="K139" s="370" t="s">
        <v>29</v>
      </c>
      <c r="L139" s="370" t="s">
        <v>39</v>
      </c>
      <c r="M139" s="370" t="s">
        <v>51</v>
      </c>
      <c r="S139" s="369"/>
      <c r="T139" s="372"/>
      <c r="U139" s="370"/>
      <c r="V139" s="370" t="s">
        <v>686</v>
      </c>
      <c r="W139" s="370" t="s">
        <v>687</v>
      </c>
      <c r="X139" s="370" t="s">
        <v>688</v>
      </c>
      <c r="Y139" s="369">
        <v>66</v>
      </c>
      <c r="Z139" s="373">
        <v>0</v>
      </c>
      <c r="AA139" s="369">
        <v>70</v>
      </c>
      <c r="AB139" s="373">
        <v>17.14</v>
      </c>
    </row>
    <row r="140" spans="1:28" s="390" customFormat="1" x14ac:dyDescent="0.25">
      <c r="A140" s="460"/>
      <c r="B140" s="389" t="s">
        <v>153</v>
      </c>
      <c r="C140" s="369">
        <v>10</v>
      </c>
      <c r="D140" s="370">
        <v>118030335</v>
      </c>
      <c r="E140" s="369"/>
      <c r="F140" s="369" t="s">
        <v>689</v>
      </c>
      <c r="G140" s="372" t="s">
        <v>211</v>
      </c>
      <c r="H140" s="370" t="s">
        <v>26</v>
      </c>
      <c r="I140" s="371" t="s">
        <v>690</v>
      </c>
      <c r="J140" s="370" t="s">
        <v>691</v>
      </c>
      <c r="K140" s="370" t="s">
        <v>81</v>
      </c>
      <c r="L140" s="370"/>
      <c r="M140" s="370"/>
      <c r="S140" s="369"/>
      <c r="T140" s="372"/>
      <c r="U140" s="370"/>
      <c r="V140" s="370" t="s">
        <v>333</v>
      </c>
      <c r="W140" s="370" t="s">
        <v>692</v>
      </c>
      <c r="X140" s="370" t="s">
        <v>693</v>
      </c>
      <c r="Y140" s="369">
        <v>100</v>
      </c>
      <c r="Z140" s="373">
        <v>0</v>
      </c>
      <c r="AA140" s="369">
        <v>54</v>
      </c>
      <c r="AB140" s="373">
        <v>11.11</v>
      </c>
    </row>
    <row r="141" spans="1:28" s="390" customFormat="1" x14ac:dyDescent="0.25">
      <c r="A141" s="460"/>
      <c r="B141" s="389" t="s">
        <v>153</v>
      </c>
      <c r="C141" s="369">
        <v>11</v>
      </c>
      <c r="D141" s="370">
        <v>1009383</v>
      </c>
      <c r="E141" s="369" t="s">
        <v>43</v>
      </c>
      <c r="F141" s="369" t="s">
        <v>24</v>
      </c>
      <c r="G141" s="372" t="s">
        <v>25</v>
      </c>
      <c r="H141" s="370" t="s">
        <v>694</v>
      </c>
      <c r="I141" s="371" t="s">
        <v>695</v>
      </c>
      <c r="J141" s="370" t="s">
        <v>696</v>
      </c>
      <c r="K141" s="370" t="s">
        <v>29</v>
      </c>
      <c r="L141" s="370" t="s">
        <v>39</v>
      </c>
      <c r="M141" s="370" t="s">
        <v>51</v>
      </c>
      <c r="S141" s="369"/>
      <c r="T141" s="372"/>
      <c r="U141" s="370"/>
      <c r="V141" s="370" t="s">
        <v>289</v>
      </c>
      <c r="W141" s="370" t="s">
        <v>697</v>
      </c>
      <c r="X141" s="370" t="s">
        <v>698</v>
      </c>
      <c r="Y141" s="369">
        <v>77</v>
      </c>
      <c r="Z141" s="373">
        <v>0</v>
      </c>
      <c r="AA141" s="369">
        <v>37</v>
      </c>
      <c r="AB141" s="373">
        <v>21.62</v>
      </c>
    </row>
    <row r="142" spans="1:28" s="390" customFormat="1" x14ac:dyDescent="0.25">
      <c r="A142" s="460"/>
      <c r="B142" s="389" t="s">
        <v>153</v>
      </c>
      <c r="C142" s="369">
        <v>11</v>
      </c>
      <c r="D142" s="370">
        <v>1030746</v>
      </c>
      <c r="E142" s="369" t="s">
        <v>43</v>
      </c>
      <c r="F142" s="369" t="s">
        <v>24</v>
      </c>
      <c r="G142" s="372" t="s">
        <v>25</v>
      </c>
      <c r="H142" s="370" t="s">
        <v>26</v>
      </c>
      <c r="I142" s="371" t="s">
        <v>699</v>
      </c>
      <c r="J142" s="370" t="s">
        <v>700</v>
      </c>
      <c r="K142" s="370" t="s">
        <v>29</v>
      </c>
      <c r="L142" s="370" t="s">
        <v>30</v>
      </c>
      <c r="M142" s="370" t="s">
        <v>31</v>
      </c>
      <c r="S142" s="369"/>
      <c r="T142" s="372"/>
      <c r="U142" s="370"/>
      <c r="V142" s="370" t="s">
        <v>289</v>
      </c>
      <c r="W142" s="370" t="s">
        <v>701</v>
      </c>
      <c r="X142" s="370" t="s">
        <v>702</v>
      </c>
      <c r="Y142" s="369">
        <v>60</v>
      </c>
      <c r="Z142" s="373">
        <v>0</v>
      </c>
      <c r="AA142" s="369">
        <v>56</v>
      </c>
      <c r="AB142" s="373">
        <v>16.07</v>
      </c>
    </row>
    <row r="143" spans="1:28" s="390" customFormat="1" x14ac:dyDescent="0.25">
      <c r="A143" s="460"/>
      <c r="B143" s="389" t="s">
        <v>153</v>
      </c>
      <c r="C143" s="369">
        <v>11</v>
      </c>
      <c r="D143" s="370">
        <v>117902677</v>
      </c>
      <c r="E143" s="369" t="s">
        <v>23</v>
      </c>
      <c r="F143" s="369" t="s">
        <v>35</v>
      </c>
      <c r="G143" s="372" t="s">
        <v>25</v>
      </c>
      <c r="H143" s="370" t="s">
        <v>36</v>
      </c>
      <c r="I143" s="371" t="s">
        <v>703</v>
      </c>
      <c r="J143" s="370" t="s">
        <v>704</v>
      </c>
      <c r="K143" s="370" t="s">
        <v>29</v>
      </c>
      <c r="L143" s="370"/>
      <c r="M143" s="370"/>
      <c r="N143" s="390">
        <v>540553623</v>
      </c>
      <c r="O143" s="390" t="s">
        <v>4182</v>
      </c>
      <c r="S143" s="369"/>
      <c r="T143" s="372"/>
      <c r="U143" s="370"/>
      <c r="V143" s="370" t="s">
        <v>613</v>
      </c>
      <c r="W143" s="370" t="s">
        <v>705</v>
      </c>
      <c r="X143" s="370" t="s">
        <v>706</v>
      </c>
      <c r="Y143" s="369">
        <v>80</v>
      </c>
      <c r="Z143" s="373">
        <v>0</v>
      </c>
      <c r="AA143" s="369">
        <v>56</v>
      </c>
      <c r="AB143" s="373">
        <v>17.86</v>
      </c>
    </row>
    <row r="144" spans="1:28" s="390" customFormat="1" x14ac:dyDescent="0.25">
      <c r="A144" s="460"/>
      <c r="B144" s="389" t="s">
        <v>153</v>
      </c>
      <c r="C144" s="369">
        <v>12</v>
      </c>
      <c r="D144" s="370">
        <v>25378647</v>
      </c>
      <c r="E144" s="369" t="s">
        <v>24</v>
      </c>
      <c r="F144" s="369" t="s">
        <v>43</v>
      </c>
      <c r="G144" s="372" t="s">
        <v>25</v>
      </c>
      <c r="H144" s="370" t="s">
        <v>589</v>
      </c>
      <c r="I144" s="371" t="s">
        <v>707</v>
      </c>
      <c r="J144" s="370" t="s">
        <v>708</v>
      </c>
      <c r="K144" s="370" t="s">
        <v>29</v>
      </c>
      <c r="L144" s="370" t="s">
        <v>30</v>
      </c>
      <c r="M144" s="370" t="s">
        <v>56</v>
      </c>
      <c r="N144" s="390">
        <v>770248150</v>
      </c>
      <c r="Q144" s="390" t="s">
        <v>4181</v>
      </c>
      <c r="S144" s="369"/>
      <c r="T144" s="372" t="s">
        <v>709</v>
      </c>
      <c r="U144" s="370"/>
      <c r="V144" s="370" t="s">
        <v>136</v>
      </c>
      <c r="W144" s="370" t="s">
        <v>710</v>
      </c>
      <c r="X144" s="370" t="s">
        <v>711</v>
      </c>
      <c r="Y144" s="369">
        <v>111</v>
      </c>
      <c r="Z144" s="373">
        <v>0</v>
      </c>
      <c r="AA144" s="369">
        <v>98</v>
      </c>
      <c r="AB144" s="373">
        <v>37.76</v>
      </c>
    </row>
    <row r="145" spans="1:28" s="390" customFormat="1" x14ac:dyDescent="0.25">
      <c r="A145" s="460"/>
      <c r="B145" s="389" t="s">
        <v>153</v>
      </c>
      <c r="C145" s="369">
        <v>12</v>
      </c>
      <c r="D145" s="370">
        <v>105445956</v>
      </c>
      <c r="E145" s="369" t="s">
        <v>23</v>
      </c>
      <c r="F145" s="369" t="s">
        <v>43</v>
      </c>
      <c r="G145" s="372" t="s">
        <v>25</v>
      </c>
      <c r="H145" s="370" t="s">
        <v>712</v>
      </c>
      <c r="I145" s="371" t="s">
        <v>713</v>
      </c>
      <c r="J145" s="370" t="s">
        <v>714</v>
      </c>
      <c r="K145" s="370" t="s">
        <v>29</v>
      </c>
      <c r="L145" s="370" t="s">
        <v>30</v>
      </c>
      <c r="M145" s="370" t="s">
        <v>56</v>
      </c>
      <c r="S145" s="369"/>
      <c r="T145" s="372"/>
      <c r="U145" s="370"/>
      <c r="V145" s="370" t="s">
        <v>613</v>
      </c>
      <c r="W145" s="370" t="s">
        <v>715</v>
      </c>
      <c r="X145" s="370" t="s">
        <v>716</v>
      </c>
      <c r="Y145" s="369">
        <v>117</v>
      </c>
      <c r="Z145" s="373">
        <v>0</v>
      </c>
      <c r="AA145" s="369">
        <v>107</v>
      </c>
      <c r="AB145" s="373">
        <v>45.79</v>
      </c>
    </row>
    <row r="146" spans="1:28" s="390" customFormat="1" x14ac:dyDescent="0.25">
      <c r="A146" s="460"/>
      <c r="B146" s="392" t="s">
        <v>153</v>
      </c>
      <c r="C146" s="374">
        <v>12</v>
      </c>
      <c r="D146" s="375">
        <v>133254257</v>
      </c>
      <c r="E146" s="374" t="s">
        <v>23</v>
      </c>
      <c r="F146" s="374" t="s">
        <v>35</v>
      </c>
      <c r="G146" s="380" t="s">
        <v>25</v>
      </c>
      <c r="H146" s="375" t="s">
        <v>26</v>
      </c>
      <c r="I146" s="371" t="s">
        <v>717</v>
      </c>
      <c r="J146" s="375" t="s">
        <v>718</v>
      </c>
      <c r="K146" s="375" t="s">
        <v>29</v>
      </c>
      <c r="L146" s="375" t="s">
        <v>39</v>
      </c>
      <c r="M146" s="375" t="s">
        <v>51</v>
      </c>
      <c r="S146" s="374"/>
      <c r="T146" s="380"/>
      <c r="U146" s="375"/>
      <c r="V146" s="375" t="s">
        <v>719</v>
      </c>
      <c r="W146" s="375" t="s">
        <v>720</v>
      </c>
      <c r="X146" s="375" t="s">
        <v>721</v>
      </c>
      <c r="Y146" s="374">
        <v>91</v>
      </c>
      <c r="Z146" s="377">
        <v>0</v>
      </c>
      <c r="AA146" s="374">
        <v>70</v>
      </c>
      <c r="AB146" s="378">
        <v>10</v>
      </c>
    </row>
    <row r="147" spans="1:28" s="390" customFormat="1" x14ac:dyDescent="0.25">
      <c r="A147" s="460"/>
      <c r="B147" s="392" t="s">
        <v>153</v>
      </c>
      <c r="C147" s="374">
        <v>13</v>
      </c>
      <c r="D147" s="375">
        <v>109793542</v>
      </c>
      <c r="E147" s="374" t="s">
        <v>23</v>
      </c>
      <c r="F147" s="374" t="s">
        <v>24</v>
      </c>
      <c r="G147" s="380" t="s">
        <v>25</v>
      </c>
      <c r="H147" s="375" t="s">
        <v>26</v>
      </c>
      <c r="I147" s="371" t="s">
        <v>722</v>
      </c>
      <c r="J147" s="375" t="s">
        <v>723</v>
      </c>
      <c r="K147" s="375" t="s">
        <v>29</v>
      </c>
      <c r="L147" s="375" t="s">
        <v>30</v>
      </c>
      <c r="M147" s="375" t="s">
        <v>31</v>
      </c>
      <c r="S147" s="374"/>
      <c r="T147" s="380"/>
      <c r="U147" s="375"/>
      <c r="V147" s="375" t="s">
        <v>46</v>
      </c>
      <c r="W147" s="375" t="s">
        <v>724</v>
      </c>
      <c r="X147" s="375" t="s">
        <v>725</v>
      </c>
      <c r="Y147" s="374">
        <v>75</v>
      </c>
      <c r="Z147" s="377">
        <v>0</v>
      </c>
      <c r="AA147" s="374">
        <v>71</v>
      </c>
      <c r="AB147" s="378">
        <v>10</v>
      </c>
    </row>
    <row r="148" spans="1:28" s="390" customFormat="1" x14ac:dyDescent="0.25">
      <c r="A148" s="460"/>
      <c r="B148" s="389" t="s">
        <v>153</v>
      </c>
      <c r="C148" s="369">
        <v>14</v>
      </c>
      <c r="D148" s="370">
        <v>23855246</v>
      </c>
      <c r="E148" s="369" t="s">
        <v>43</v>
      </c>
      <c r="F148" s="369" t="s">
        <v>24</v>
      </c>
      <c r="G148" s="372" t="s">
        <v>25</v>
      </c>
      <c r="H148" s="370" t="s">
        <v>26</v>
      </c>
      <c r="I148" s="371" t="s">
        <v>726</v>
      </c>
      <c r="J148" s="370" t="s">
        <v>727</v>
      </c>
      <c r="K148" s="370" t="s">
        <v>29</v>
      </c>
      <c r="L148" s="370" t="s">
        <v>30</v>
      </c>
      <c r="M148" s="370" t="s">
        <v>31</v>
      </c>
      <c r="S148" s="369"/>
      <c r="T148" s="372"/>
      <c r="U148" s="370"/>
      <c r="V148" s="370" t="s">
        <v>180</v>
      </c>
      <c r="W148" s="370" t="s">
        <v>728</v>
      </c>
      <c r="X148" s="370" t="s">
        <v>729</v>
      </c>
      <c r="Y148" s="369">
        <v>54</v>
      </c>
      <c r="Z148" s="373">
        <v>0</v>
      </c>
      <c r="AA148" s="369">
        <v>49</v>
      </c>
      <c r="AB148" s="373">
        <v>16.329999999999998</v>
      </c>
    </row>
    <row r="149" spans="1:28" s="390" customFormat="1" x14ac:dyDescent="0.25">
      <c r="A149" s="460"/>
      <c r="B149" s="389" t="s">
        <v>153</v>
      </c>
      <c r="C149" s="369">
        <v>14</v>
      </c>
      <c r="D149" s="370">
        <v>23855247</v>
      </c>
      <c r="E149" s="369" t="s">
        <v>23</v>
      </c>
      <c r="F149" s="369" t="s">
        <v>43</v>
      </c>
      <c r="G149" s="372" t="s">
        <v>25</v>
      </c>
      <c r="H149" s="370" t="s">
        <v>26</v>
      </c>
      <c r="I149" s="371" t="s">
        <v>726</v>
      </c>
      <c r="J149" s="370" t="s">
        <v>730</v>
      </c>
      <c r="K149" s="370" t="s">
        <v>29</v>
      </c>
      <c r="L149" s="370" t="s">
        <v>30</v>
      </c>
      <c r="M149" s="370" t="s">
        <v>31</v>
      </c>
      <c r="S149" s="369"/>
      <c r="T149" s="372"/>
      <c r="U149" s="370"/>
      <c r="V149" s="370" t="s">
        <v>180</v>
      </c>
      <c r="W149" s="370" t="s">
        <v>728</v>
      </c>
      <c r="X149" s="370" t="s">
        <v>731</v>
      </c>
      <c r="Y149" s="369">
        <v>54</v>
      </c>
      <c r="Z149" s="373">
        <v>0</v>
      </c>
      <c r="AA149" s="369">
        <v>50</v>
      </c>
      <c r="AB149" s="373">
        <v>16</v>
      </c>
    </row>
    <row r="150" spans="1:28" s="390" customFormat="1" x14ac:dyDescent="0.25">
      <c r="A150" s="460"/>
      <c r="B150" s="389" t="s">
        <v>153</v>
      </c>
      <c r="C150" s="369">
        <v>16</v>
      </c>
      <c r="D150" s="370">
        <v>16360902</v>
      </c>
      <c r="E150" s="369" t="s">
        <v>35</v>
      </c>
      <c r="F150" s="369" t="s">
        <v>24</v>
      </c>
      <c r="G150" s="372" t="s">
        <v>25</v>
      </c>
      <c r="H150" s="370" t="s">
        <v>26</v>
      </c>
      <c r="I150" s="371" t="s">
        <v>733</v>
      </c>
      <c r="J150" s="370" t="s">
        <v>734</v>
      </c>
      <c r="K150" s="370" t="s">
        <v>29</v>
      </c>
      <c r="L150" s="370" t="s">
        <v>39</v>
      </c>
      <c r="M150" s="370" t="s">
        <v>51</v>
      </c>
      <c r="S150" s="369"/>
      <c r="T150" s="372"/>
      <c r="U150" s="370"/>
      <c r="V150" s="370" t="s">
        <v>735</v>
      </c>
      <c r="W150" s="370" t="s">
        <v>736</v>
      </c>
      <c r="X150" s="370" t="s">
        <v>737</v>
      </c>
      <c r="Y150" s="369">
        <v>42</v>
      </c>
      <c r="Z150" s="373">
        <v>0</v>
      </c>
      <c r="AA150" s="369">
        <v>63</v>
      </c>
      <c r="AB150" s="373">
        <v>14.29</v>
      </c>
    </row>
    <row r="151" spans="1:28" s="390" customFormat="1" x14ac:dyDescent="0.25">
      <c r="A151" s="460"/>
      <c r="B151" s="389" t="s">
        <v>153</v>
      </c>
      <c r="C151" s="369">
        <v>16</v>
      </c>
      <c r="D151" s="370">
        <v>70841818</v>
      </c>
      <c r="E151" s="369" t="s">
        <v>23</v>
      </c>
      <c r="F151" s="369" t="s">
        <v>24</v>
      </c>
      <c r="G151" s="372" t="s">
        <v>25</v>
      </c>
      <c r="H151" s="370" t="s">
        <v>26</v>
      </c>
      <c r="I151" s="371" t="s">
        <v>738</v>
      </c>
      <c r="J151" s="370" t="s">
        <v>739</v>
      </c>
      <c r="K151" s="370" t="s">
        <v>29</v>
      </c>
      <c r="L151" s="370"/>
      <c r="M151" s="370"/>
      <c r="S151" s="369"/>
      <c r="T151" s="372"/>
      <c r="U151" s="370"/>
      <c r="V151" s="370" t="s">
        <v>650</v>
      </c>
      <c r="W151" s="370" t="s">
        <v>740</v>
      </c>
      <c r="X151" s="370" t="s">
        <v>741</v>
      </c>
      <c r="Y151" s="369">
        <v>69</v>
      </c>
      <c r="Z151" s="373">
        <v>1</v>
      </c>
      <c r="AA151" s="369">
        <v>62</v>
      </c>
      <c r="AB151" s="373">
        <v>46.77</v>
      </c>
    </row>
    <row r="152" spans="1:28" s="390" customFormat="1" x14ac:dyDescent="0.25">
      <c r="A152" s="460"/>
      <c r="B152" s="389" t="s">
        <v>153</v>
      </c>
      <c r="C152" s="369">
        <v>17</v>
      </c>
      <c r="D152" s="370">
        <v>29161856</v>
      </c>
      <c r="E152" s="369" t="s">
        <v>35</v>
      </c>
      <c r="F152" s="369" t="s">
        <v>23</v>
      </c>
      <c r="G152" s="372" t="s">
        <v>25</v>
      </c>
      <c r="H152" s="370" t="s">
        <v>36</v>
      </c>
      <c r="I152" s="371" t="s">
        <v>742</v>
      </c>
      <c r="J152" s="370" t="s">
        <v>743</v>
      </c>
      <c r="K152" s="370" t="s">
        <v>29</v>
      </c>
      <c r="L152" s="370" t="s">
        <v>39</v>
      </c>
      <c r="M152" s="370" t="s">
        <v>51</v>
      </c>
      <c r="S152" s="369"/>
      <c r="T152" s="372"/>
      <c r="U152" s="370"/>
      <c r="V152" s="370" t="s">
        <v>180</v>
      </c>
      <c r="W152" s="370" t="s">
        <v>744</v>
      </c>
      <c r="X152" s="370" t="s">
        <v>745</v>
      </c>
      <c r="Y152" s="369">
        <v>91</v>
      </c>
      <c r="Z152" s="373">
        <v>0</v>
      </c>
      <c r="AA152" s="369">
        <v>49</v>
      </c>
      <c r="AB152" s="373">
        <v>28.57</v>
      </c>
    </row>
    <row r="153" spans="1:28" s="390" customFormat="1" x14ac:dyDescent="0.25">
      <c r="A153" s="460"/>
      <c r="B153" s="392" t="s">
        <v>153</v>
      </c>
      <c r="C153" s="374">
        <v>17</v>
      </c>
      <c r="D153" s="375">
        <v>78395677</v>
      </c>
      <c r="E153" s="374" t="s">
        <v>23</v>
      </c>
      <c r="F153" s="374" t="s">
        <v>43</v>
      </c>
      <c r="G153" s="380" t="s">
        <v>25</v>
      </c>
      <c r="H153" s="375" t="s">
        <v>589</v>
      </c>
      <c r="I153" s="371" t="s">
        <v>746</v>
      </c>
      <c r="J153" s="375" t="s">
        <v>747</v>
      </c>
      <c r="K153" s="375" t="s">
        <v>29</v>
      </c>
      <c r="L153" s="375" t="s">
        <v>30</v>
      </c>
      <c r="M153" s="375" t="s">
        <v>56</v>
      </c>
      <c r="S153" s="374"/>
      <c r="T153" s="380"/>
      <c r="U153" s="375"/>
      <c r="V153" s="375" t="s">
        <v>333</v>
      </c>
      <c r="W153" s="375" t="s">
        <v>748</v>
      </c>
      <c r="X153" s="375" t="s">
        <v>749</v>
      </c>
      <c r="Y153" s="374">
        <v>112</v>
      </c>
      <c r="Z153" s="377">
        <v>0</v>
      </c>
      <c r="AA153" s="374">
        <v>65</v>
      </c>
      <c r="AB153" s="378">
        <v>10.7</v>
      </c>
    </row>
    <row r="154" spans="1:28" s="390" customFormat="1" x14ac:dyDescent="0.25">
      <c r="A154" s="460"/>
      <c r="B154" s="392" t="s">
        <v>153</v>
      </c>
      <c r="C154" s="374">
        <v>18</v>
      </c>
      <c r="D154" s="375">
        <v>47113221</v>
      </c>
      <c r="E154" s="374" t="s">
        <v>43</v>
      </c>
      <c r="F154" s="374" t="s">
        <v>35</v>
      </c>
      <c r="G154" s="380" t="s">
        <v>25</v>
      </c>
      <c r="H154" s="375" t="s">
        <v>565</v>
      </c>
      <c r="I154" s="371" t="s">
        <v>751</v>
      </c>
      <c r="J154" s="375"/>
      <c r="K154" s="375" t="s">
        <v>485</v>
      </c>
      <c r="L154" s="375"/>
      <c r="M154" s="375"/>
      <c r="S154" s="374"/>
      <c r="T154" s="380"/>
      <c r="U154" s="375"/>
      <c r="V154" s="375" t="s">
        <v>752</v>
      </c>
      <c r="W154" s="375" t="s">
        <v>753</v>
      </c>
      <c r="X154" s="375" t="s">
        <v>754</v>
      </c>
      <c r="Y154" s="374">
        <v>74</v>
      </c>
      <c r="Z154" s="377">
        <v>0</v>
      </c>
      <c r="AA154" s="374">
        <v>78</v>
      </c>
      <c r="AB154" s="378">
        <v>10.3</v>
      </c>
    </row>
    <row r="155" spans="1:28" s="390" customFormat="1" x14ac:dyDescent="0.25">
      <c r="A155" s="460"/>
      <c r="B155" s="389" t="s">
        <v>153</v>
      </c>
      <c r="C155" s="369">
        <v>19</v>
      </c>
      <c r="D155" s="370">
        <v>727035</v>
      </c>
      <c r="E155" s="369" t="s">
        <v>43</v>
      </c>
      <c r="F155" s="369" t="s">
        <v>24</v>
      </c>
      <c r="G155" s="372" t="s">
        <v>25</v>
      </c>
      <c r="H155" s="370" t="s">
        <v>26</v>
      </c>
      <c r="I155" s="371" t="s">
        <v>755</v>
      </c>
      <c r="J155" s="370" t="s">
        <v>756</v>
      </c>
      <c r="K155" s="370" t="s">
        <v>109</v>
      </c>
      <c r="L155" s="370"/>
      <c r="M155" s="370"/>
      <c r="S155" s="369"/>
      <c r="T155" s="372"/>
      <c r="U155" s="370"/>
      <c r="V155" s="370" t="s">
        <v>120</v>
      </c>
      <c r="W155" s="370" t="s">
        <v>757</v>
      </c>
      <c r="X155" s="370" t="s">
        <v>758</v>
      </c>
      <c r="Y155" s="369">
        <v>69</v>
      </c>
      <c r="Z155" s="373">
        <v>0</v>
      </c>
      <c r="AA155" s="369">
        <v>42</v>
      </c>
      <c r="AB155" s="373">
        <v>21.43</v>
      </c>
    </row>
    <row r="156" spans="1:28" s="390" customFormat="1" x14ac:dyDescent="0.25">
      <c r="A156" s="460"/>
      <c r="B156" s="389" t="s">
        <v>153</v>
      </c>
      <c r="C156" s="369">
        <v>19</v>
      </c>
      <c r="D156" s="370">
        <v>1044690</v>
      </c>
      <c r="E156" s="369" t="s">
        <v>43</v>
      </c>
      <c r="F156" s="369" t="s">
        <v>35</v>
      </c>
      <c r="G156" s="372" t="s">
        <v>25</v>
      </c>
      <c r="H156" s="370" t="s">
        <v>26</v>
      </c>
      <c r="I156" s="371" t="s">
        <v>759</v>
      </c>
      <c r="J156" s="370" t="s">
        <v>760</v>
      </c>
      <c r="K156" s="370" t="s">
        <v>29</v>
      </c>
      <c r="L156" s="370" t="s">
        <v>39</v>
      </c>
      <c r="M156" s="370" t="s">
        <v>51</v>
      </c>
      <c r="N156" s="390">
        <v>376514872</v>
      </c>
      <c r="P156" s="390" t="s">
        <v>761</v>
      </c>
      <c r="Q156" s="390" t="s">
        <v>4181</v>
      </c>
      <c r="S156" s="369"/>
      <c r="T156" s="372"/>
      <c r="U156" s="370"/>
      <c r="V156" s="370" t="s">
        <v>120</v>
      </c>
      <c r="W156" s="370" t="s">
        <v>762</v>
      </c>
      <c r="X156" s="370" t="s">
        <v>763</v>
      </c>
      <c r="Y156" s="369">
        <v>89</v>
      </c>
      <c r="Z156" s="373">
        <v>0</v>
      </c>
      <c r="AA156" s="369">
        <v>54</v>
      </c>
      <c r="AB156" s="373">
        <v>11.11</v>
      </c>
    </row>
    <row r="157" spans="1:28" s="390" customFormat="1" x14ac:dyDescent="0.25">
      <c r="A157" s="460"/>
      <c r="B157" s="392" t="s">
        <v>153</v>
      </c>
      <c r="C157" s="374">
        <v>19</v>
      </c>
      <c r="D157" s="375">
        <v>5914087</v>
      </c>
      <c r="E157" s="374" t="s">
        <v>43</v>
      </c>
      <c r="F157" s="374" t="s">
        <v>35</v>
      </c>
      <c r="G157" s="380" t="s">
        <v>25</v>
      </c>
      <c r="H157" s="375" t="s">
        <v>600</v>
      </c>
      <c r="I157" s="371" t="s">
        <v>764</v>
      </c>
      <c r="J157" s="375" t="s">
        <v>765</v>
      </c>
      <c r="K157" s="375" t="s">
        <v>766</v>
      </c>
      <c r="L157" s="375"/>
      <c r="M157" s="375"/>
      <c r="S157" s="374"/>
      <c r="T157" s="380"/>
      <c r="U157" s="375"/>
      <c r="V157" s="375" t="s">
        <v>120</v>
      </c>
      <c r="W157" s="375" t="s">
        <v>767</v>
      </c>
      <c r="X157" s="375" t="s">
        <v>768</v>
      </c>
      <c r="Y157" s="374">
        <v>59</v>
      </c>
      <c r="Z157" s="377">
        <v>0</v>
      </c>
      <c r="AA157" s="374">
        <v>58</v>
      </c>
      <c r="AB157" s="378">
        <v>10.3</v>
      </c>
    </row>
    <row r="158" spans="1:28" s="390" customFormat="1" x14ac:dyDescent="0.25">
      <c r="A158" s="460"/>
      <c r="B158" s="392" t="s">
        <v>153</v>
      </c>
      <c r="C158" s="374">
        <v>19</v>
      </c>
      <c r="D158" s="375">
        <v>9054235</v>
      </c>
      <c r="E158" s="374" t="s">
        <v>23</v>
      </c>
      <c r="F158" s="374" t="s">
        <v>24</v>
      </c>
      <c r="G158" s="380" t="s">
        <v>25</v>
      </c>
      <c r="H158" s="375" t="s">
        <v>26</v>
      </c>
      <c r="I158" s="371" t="s">
        <v>357</v>
      </c>
      <c r="J158" s="375" t="s">
        <v>769</v>
      </c>
      <c r="K158" s="375" t="s">
        <v>29</v>
      </c>
      <c r="L158" s="375" t="s">
        <v>30</v>
      </c>
      <c r="M158" s="375" t="s">
        <v>51</v>
      </c>
      <c r="N158" s="390">
        <v>769214369</v>
      </c>
      <c r="S158" s="374"/>
      <c r="T158" s="380"/>
      <c r="U158" s="375"/>
      <c r="V158" s="375" t="s">
        <v>32</v>
      </c>
      <c r="W158" s="375" t="s">
        <v>770</v>
      </c>
      <c r="X158" s="375" t="s">
        <v>771</v>
      </c>
      <c r="Y158" s="374">
        <v>53</v>
      </c>
      <c r="Z158" s="377">
        <v>0</v>
      </c>
      <c r="AA158" s="374">
        <v>67</v>
      </c>
      <c r="AB158" s="378">
        <v>10.4</v>
      </c>
    </row>
    <row r="159" spans="1:28" s="390" customFormat="1" x14ac:dyDescent="0.25">
      <c r="A159" s="460"/>
      <c r="B159" s="389" t="s">
        <v>153</v>
      </c>
      <c r="C159" s="369">
        <v>19</v>
      </c>
      <c r="D159" s="370">
        <v>12155444</v>
      </c>
      <c r="E159" s="369" t="s">
        <v>24</v>
      </c>
      <c r="F159" s="369" t="s">
        <v>43</v>
      </c>
      <c r="G159" s="372" t="s">
        <v>25</v>
      </c>
      <c r="H159" s="370" t="s">
        <v>589</v>
      </c>
      <c r="I159" s="371" t="s">
        <v>772</v>
      </c>
      <c r="J159" s="370" t="s">
        <v>773</v>
      </c>
      <c r="K159" s="370" t="s">
        <v>29</v>
      </c>
      <c r="L159" s="370" t="s">
        <v>30</v>
      </c>
      <c r="M159" s="370" t="s">
        <v>51</v>
      </c>
      <c r="S159" s="369"/>
      <c r="T159" s="372"/>
      <c r="U159" s="370"/>
      <c r="V159" s="370" t="s">
        <v>32</v>
      </c>
      <c r="W159" s="370" t="s">
        <v>774</v>
      </c>
      <c r="X159" s="370" t="s">
        <v>775</v>
      </c>
      <c r="Y159" s="369">
        <v>66</v>
      </c>
      <c r="Z159" s="373">
        <v>0</v>
      </c>
      <c r="AA159" s="369">
        <v>62</v>
      </c>
      <c r="AB159" s="373">
        <v>12.9</v>
      </c>
    </row>
    <row r="160" spans="1:28" s="390" customFormat="1" x14ac:dyDescent="0.25">
      <c r="A160" s="460"/>
      <c r="B160" s="392" t="s">
        <v>153</v>
      </c>
      <c r="C160" s="374">
        <v>19</v>
      </c>
      <c r="D160" s="375">
        <v>13885374</v>
      </c>
      <c r="E160" s="374" t="s">
        <v>43</v>
      </c>
      <c r="F160" s="374" t="s">
        <v>35</v>
      </c>
      <c r="G160" s="380" t="s">
        <v>25</v>
      </c>
      <c r="H160" s="375" t="s">
        <v>776</v>
      </c>
      <c r="I160" s="371" t="s">
        <v>777</v>
      </c>
      <c r="J160" s="375" t="s">
        <v>778</v>
      </c>
      <c r="K160" s="375" t="s">
        <v>29</v>
      </c>
      <c r="L160" s="375" t="s">
        <v>30</v>
      </c>
      <c r="M160" s="375" t="s">
        <v>56</v>
      </c>
      <c r="N160" s="390">
        <v>774332454</v>
      </c>
      <c r="Q160" s="390" t="s">
        <v>4181</v>
      </c>
      <c r="S160" s="374"/>
      <c r="T160" s="380"/>
      <c r="U160" s="375"/>
      <c r="V160" s="375" t="s">
        <v>32</v>
      </c>
      <c r="W160" s="375" t="s">
        <v>779</v>
      </c>
      <c r="X160" s="375" t="s">
        <v>780</v>
      </c>
      <c r="Y160" s="374">
        <v>72</v>
      </c>
      <c r="Z160" s="377">
        <v>0</v>
      </c>
      <c r="AA160" s="374">
        <v>58</v>
      </c>
      <c r="AB160" s="378">
        <v>10.3</v>
      </c>
    </row>
    <row r="161" spans="1:28" s="390" customFormat="1" x14ac:dyDescent="0.25">
      <c r="A161" s="460"/>
      <c r="B161" s="389" t="s">
        <v>153</v>
      </c>
      <c r="C161" s="369">
        <v>19</v>
      </c>
      <c r="D161" s="370">
        <v>33793280</v>
      </c>
      <c r="E161" s="369" t="s">
        <v>43</v>
      </c>
      <c r="F161" s="369" t="s">
        <v>23</v>
      </c>
      <c r="G161" s="372" t="s">
        <v>25</v>
      </c>
      <c r="H161" s="370" t="s">
        <v>781</v>
      </c>
      <c r="I161" s="371" t="s">
        <v>782</v>
      </c>
      <c r="J161" s="370" t="s">
        <v>783</v>
      </c>
      <c r="K161" s="370" t="s">
        <v>29</v>
      </c>
      <c r="L161" s="370" t="s">
        <v>39</v>
      </c>
      <c r="M161" s="370" t="s">
        <v>51</v>
      </c>
      <c r="N161" s="390">
        <v>1007915253</v>
      </c>
      <c r="S161" s="369"/>
      <c r="T161" s="372">
        <v>42115</v>
      </c>
      <c r="U161" s="370"/>
      <c r="V161" s="370" t="s">
        <v>784</v>
      </c>
      <c r="W161" s="370" t="s">
        <v>785</v>
      </c>
      <c r="X161" s="370" t="s">
        <v>786</v>
      </c>
      <c r="Y161" s="369">
        <v>62</v>
      </c>
      <c r="Z161" s="373">
        <v>0</v>
      </c>
      <c r="AA161" s="369">
        <v>44</v>
      </c>
      <c r="AB161" s="373">
        <v>11.36</v>
      </c>
    </row>
    <row r="162" spans="1:28" s="390" customFormat="1" x14ac:dyDescent="0.25">
      <c r="A162" s="460"/>
      <c r="B162" s="389" t="s">
        <v>153</v>
      </c>
      <c r="C162" s="369">
        <v>19</v>
      </c>
      <c r="D162" s="370">
        <v>45377660</v>
      </c>
      <c r="E162" s="369" t="s">
        <v>24</v>
      </c>
      <c r="F162" s="369" t="s">
        <v>23</v>
      </c>
      <c r="G162" s="372" t="s">
        <v>25</v>
      </c>
      <c r="H162" s="370" t="s">
        <v>26</v>
      </c>
      <c r="I162" s="371" t="s">
        <v>787</v>
      </c>
      <c r="J162" s="370" t="s">
        <v>788</v>
      </c>
      <c r="K162" s="370" t="s">
        <v>29</v>
      </c>
      <c r="L162" s="370" t="s">
        <v>39</v>
      </c>
      <c r="M162" s="370" t="s">
        <v>51</v>
      </c>
      <c r="S162" s="369"/>
      <c r="T162" s="372"/>
      <c r="U162" s="370"/>
      <c r="V162" s="370" t="s">
        <v>789</v>
      </c>
      <c r="W162" s="370" t="s">
        <v>790</v>
      </c>
      <c r="X162" s="370" t="s">
        <v>791</v>
      </c>
      <c r="Y162" s="369">
        <v>51</v>
      </c>
      <c r="Z162" s="373">
        <v>0</v>
      </c>
      <c r="AA162" s="369">
        <v>78</v>
      </c>
      <c r="AB162" s="373">
        <v>17.95</v>
      </c>
    </row>
    <row r="163" spans="1:28" s="390" customFormat="1" x14ac:dyDescent="0.25">
      <c r="A163" s="460"/>
      <c r="B163" s="389" t="s">
        <v>153</v>
      </c>
      <c r="C163" s="369">
        <v>19</v>
      </c>
      <c r="D163" s="370">
        <v>51917071</v>
      </c>
      <c r="E163" s="369" t="s">
        <v>23</v>
      </c>
      <c r="F163" s="369" t="s">
        <v>35</v>
      </c>
      <c r="G163" s="372" t="s">
        <v>25</v>
      </c>
      <c r="H163" s="370" t="s">
        <v>792</v>
      </c>
      <c r="I163" s="371" t="s">
        <v>793</v>
      </c>
      <c r="J163" s="370" t="s">
        <v>794</v>
      </c>
      <c r="K163" s="370" t="s">
        <v>29</v>
      </c>
      <c r="L163" s="370" t="s">
        <v>39</v>
      </c>
      <c r="M163" s="370" t="s">
        <v>51</v>
      </c>
      <c r="N163" s="390">
        <v>1445472772</v>
      </c>
      <c r="S163" s="369"/>
      <c r="T163" s="372"/>
      <c r="U163" s="370"/>
      <c r="V163" s="370" t="s">
        <v>795</v>
      </c>
      <c r="W163" s="370" t="s">
        <v>796</v>
      </c>
      <c r="X163" s="370" t="s">
        <v>797</v>
      </c>
      <c r="Y163" s="369">
        <v>65</v>
      </c>
      <c r="Z163" s="373">
        <v>0</v>
      </c>
      <c r="AA163" s="369">
        <v>58</v>
      </c>
      <c r="AB163" s="373">
        <v>25.86</v>
      </c>
    </row>
    <row r="164" spans="1:28" s="390" customFormat="1" x14ac:dyDescent="0.25">
      <c r="A164" s="460"/>
      <c r="B164" s="389" t="s">
        <v>153</v>
      </c>
      <c r="C164" s="369">
        <v>21</v>
      </c>
      <c r="D164" s="370">
        <v>19635116</v>
      </c>
      <c r="E164" s="369" t="s">
        <v>23</v>
      </c>
      <c r="F164" s="369" t="s">
        <v>24</v>
      </c>
      <c r="G164" s="372" t="s">
        <v>25</v>
      </c>
      <c r="H164" s="370" t="s">
        <v>589</v>
      </c>
      <c r="I164" s="371" t="s">
        <v>799</v>
      </c>
      <c r="J164" s="370" t="s">
        <v>800</v>
      </c>
      <c r="K164" s="370" t="s">
        <v>29</v>
      </c>
      <c r="L164" s="370" t="s">
        <v>39</v>
      </c>
      <c r="M164" s="370" t="s">
        <v>56</v>
      </c>
      <c r="S164" s="369"/>
      <c r="T164" s="372"/>
      <c r="U164" s="370"/>
      <c r="V164" s="370" t="s">
        <v>752</v>
      </c>
      <c r="W164" s="370" t="s">
        <v>801</v>
      </c>
      <c r="X164" s="370" t="s">
        <v>802</v>
      </c>
      <c r="Y164" s="369">
        <v>86</v>
      </c>
      <c r="Z164" s="373">
        <v>0</v>
      </c>
      <c r="AA164" s="369">
        <v>91</v>
      </c>
      <c r="AB164" s="373">
        <v>17.579999999999998</v>
      </c>
    </row>
    <row r="165" spans="1:28" s="417" customFormat="1" ht="15.75" thickBot="1" x14ac:dyDescent="0.3">
      <c r="A165" s="460"/>
      <c r="B165" s="413" t="s">
        <v>153</v>
      </c>
      <c r="C165" s="414">
        <v>22</v>
      </c>
      <c r="D165" s="415">
        <v>31835972</v>
      </c>
      <c r="E165" s="414" t="s">
        <v>43</v>
      </c>
      <c r="F165" s="414" t="s">
        <v>24</v>
      </c>
      <c r="G165" s="418" t="s">
        <v>25</v>
      </c>
      <c r="H165" s="415" t="s">
        <v>26</v>
      </c>
      <c r="I165" s="416" t="s">
        <v>803</v>
      </c>
      <c r="J165" s="415" t="s">
        <v>804</v>
      </c>
      <c r="K165" s="415" t="s">
        <v>29</v>
      </c>
      <c r="L165" s="415" t="s">
        <v>30</v>
      </c>
      <c r="M165" s="415" t="s">
        <v>31</v>
      </c>
      <c r="S165" s="414"/>
      <c r="T165" s="418"/>
      <c r="U165" s="415"/>
      <c r="V165" s="415" t="s">
        <v>150</v>
      </c>
      <c r="W165" s="415" t="s">
        <v>805</v>
      </c>
      <c r="X165" s="415" t="s">
        <v>806</v>
      </c>
      <c r="Y165" s="414">
        <v>83</v>
      </c>
      <c r="Z165" s="419">
        <v>0</v>
      </c>
      <c r="AA165" s="414">
        <v>89</v>
      </c>
      <c r="AB165" s="419">
        <v>11.24</v>
      </c>
    </row>
    <row r="166" spans="1:28" ht="15" customHeight="1" x14ac:dyDescent="0.25">
      <c r="A166" s="460" t="s">
        <v>4148</v>
      </c>
      <c r="B166" s="34" t="s">
        <v>22</v>
      </c>
      <c r="C166" s="35">
        <v>6</v>
      </c>
      <c r="D166" s="36">
        <v>54804680</v>
      </c>
      <c r="E166" s="35" t="s">
        <v>43</v>
      </c>
      <c r="F166" s="35" t="s">
        <v>24</v>
      </c>
      <c r="G166" s="40" t="s">
        <v>25</v>
      </c>
      <c r="H166" s="34" t="s">
        <v>26</v>
      </c>
      <c r="I166" s="37" t="s">
        <v>807</v>
      </c>
      <c r="J166" s="38" t="s">
        <v>808</v>
      </c>
      <c r="K166" s="40" t="s">
        <v>29</v>
      </c>
      <c r="L166" s="34" t="s">
        <v>30</v>
      </c>
      <c r="M166" s="34" t="s">
        <v>51</v>
      </c>
      <c r="N166" s="393">
        <v>1215214153</v>
      </c>
      <c r="O166" s="393"/>
      <c r="P166" s="393"/>
      <c r="Q166" s="393"/>
      <c r="R166" s="393"/>
      <c r="S166" s="35"/>
      <c r="T166" s="40"/>
      <c r="U166" s="34"/>
      <c r="V166" s="34" t="s">
        <v>136</v>
      </c>
      <c r="W166" s="34" t="s">
        <v>809</v>
      </c>
      <c r="X166" s="34" t="s">
        <v>810</v>
      </c>
      <c r="Y166" s="35">
        <v>122</v>
      </c>
      <c r="Z166" s="39">
        <v>35.25</v>
      </c>
      <c r="AA166" s="35">
        <v>85</v>
      </c>
      <c r="AB166" s="39">
        <v>0</v>
      </c>
    </row>
    <row r="167" spans="1:28" x14ac:dyDescent="0.25">
      <c r="A167" s="460"/>
      <c r="B167" s="34" t="s">
        <v>22</v>
      </c>
      <c r="C167" s="35">
        <v>9</v>
      </c>
      <c r="D167" s="36">
        <v>131254816</v>
      </c>
      <c r="E167" s="35" t="s">
        <v>43</v>
      </c>
      <c r="F167" s="35" t="s">
        <v>24</v>
      </c>
      <c r="G167" s="40" t="s">
        <v>25</v>
      </c>
      <c r="H167" s="34" t="s">
        <v>565</v>
      </c>
      <c r="I167" s="37" t="s">
        <v>811</v>
      </c>
      <c r="J167" s="38"/>
      <c r="K167" s="34" t="s">
        <v>485</v>
      </c>
      <c r="L167" s="34"/>
      <c r="M167" s="34"/>
      <c r="N167" s="393"/>
      <c r="O167" s="393"/>
      <c r="P167" s="393"/>
      <c r="Q167" s="393"/>
      <c r="R167" s="393"/>
      <c r="S167" s="35"/>
      <c r="T167" s="40"/>
      <c r="U167" s="34"/>
      <c r="V167" s="34" t="s">
        <v>812</v>
      </c>
      <c r="W167" s="34" t="s">
        <v>813</v>
      </c>
      <c r="X167" s="34" t="s">
        <v>814</v>
      </c>
      <c r="Y167" s="35">
        <v>89</v>
      </c>
      <c r="Z167" s="39">
        <v>42.7</v>
      </c>
      <c r="AA167" s="35">
        <v>73</v>
      </c>
      <c r="AB167" s="39">
        <v>0</v>
      </c>
    </row>
    <row r="168" spans="1:28" x14ac:dyDescent="0.25">
      <c r="A168" s="460"/>
      <c r="B168" s="34" t="s">
        <v>22</v>
      </c>
      <c r="C168" s="35">
        <v>7</v>
      </c>
      <c r="D168" s="36">
        <v>70255361</v>
      </c>
      <c r="E168" s="35" t="s">
        <v>23</v>
      </c>
      <c r="F168" s="35"/>
      <c r="G168" s="40" t="s">
        <v>61</v>
      </c>
      <c r="H168" s="34" t="s">
        <v>26</v>
      </c>
      <c r="I168" s="37" t="s">
        <v>815</v>
      </c>
      <c r="J168" s="38" t="s">
        <v>816</v>
      </c>
      <c r="K168" s="40" t="s">
        <v>81</v>
      </c>
      <c r="L168" s="34"/>
      <c r="M168" s="34"/>
      <c r="N168" s="393"/>
      <c r="O168" s="393"/>
      <c r="P168" s="393"/>
      <c r="Q168" s="393"/>
      <c r="R168" s="393"/>
      <c r="S168" s="35"/>
      <c r="T168" s="40"/>
      <c r="U168" s="34"/>
      <c r="V168" s="34" t="s">
        <v>817</v>
      </c>
      <c r="W168" s="34" t="s">
        <v>818</v>
      </c>
      <c r="X168" s="34" t="s">
        <v>819</v>
      </c>
      <c r="Y168" s="35">
        <v>100</v>
      </c>
      <c r="Z168" s="39">
        <v>33</v>
      </c>
      <c r="AA168" s="35">
        <v>63</v>
      </c>
      <c r="AB168" s="39">
        <v>0</v>
      </c>
    </row>
    <row r="169" spans="1:28" s="420" customFormat="1" x14ac:dyDescent="0.25">
      <c r="A169" s="460"/>
      <c r="B169" s="41" t="s">
        <v>504</v>
      </c>
      <c r="C169" s="42">
        <v>17</v>
      </c>
      <c r="D169" s="43">
        <v>36628191</v>
      </c>
      <c r="E169" s="42" t="s">
        <v>43</v>
      </c>
      <c r="F169" s="42" t="s">
        <v>35</v>
      </c>
      <c r="G169" s="47" t="s">
        <v>25</v>
      </c>
      <c r="H169" s="41" t="s">
        <v>26</v>
      </c>
      <c r="I169" s="44" t="s">
        <v>820</v>
      </c>
      <c r="J169" s="45" t="s">
        <v>821</v>
      </c>
      <c r="K169" s="47" t="s">
        <v>29</v>
      </c>
      <c r="L169" s="41" t="s">
        <v>30</v>
      </c>
      <c r="M169" s="41"/>
      <c r="N169" s="41">
        <v>199655106</v>
      </c>
      <c r="S169" s="42"/>
      <c r="T169" s="47"/>
      <c r="U169" s="41"/>
      <c r="V169" s="41" t="s">
        <v>468</v>
      </c>
      <c r="W169" s="41" t="s">
        <v>822</v>
      </c>
      <c r="X169" s="41" t="s">
        <v>823</v>
      </c>
      <c r="Y169" s="42">
        <v>130</v>
      </c>
      <c r="Z169" s="46">
        <v>10</v>
      </c>
      <c r="AA169" s="42">
        <v>172</v>
      </c>
      <c r="AB169" s="46">
        <v>5.81</v>
      </c>
    </row>
    <row r="170" spans="1:28" s="420" customFormat="1" x14ac:dyDescent="0.25">
      <c r="A170" s="460"/>
      <c r="B170" s="41" t="s">
        <v>504</v>
      </c>
      <c r="C170" s="42">
        <v>17</v>
      </c>
      <c r="D170" s="43">
        <v>26965293</v>
      </c>
      <c r="E170" s="42" t="s">
        <v>23</v>
      </c>
      <c r="F170" s="42" t="s">
        <v>35</v>
      </c>
      <c r="G170" s="47" t="s">
        <v>25</v>
      </c>
      <c r="H170" s="41" t="s">
        <v>26</v>
      </c>
      <c r="I170" s="44" t="s">
        <v>824</v>
      </c>
      <c r="J170" s="45" t="s">
        <v>825</v>
      </c>
      <c r="K170" s="47" t="s">
        <v>29</v>
      </c>
      <c r="L170" s="41"/>
      <c r="M170" s="41" t="s">
        <v>31</v>
      </c>
      <c r="S170" s="42"/>
      <c r="T170" s="47"/>
      <c r="U170" s="41"/>
      <c r="V170" s="41" t="s">
        <v>180</v>
      </c>
      <c r="W170" s="41" t="s">
        <v>826</v>
      </c>
      <c r="X170" s="41" t="s">
        <v>827</v>
      </c>
      <c r="Y170" s="42">
        <v>100</v>
      </c>
      <c r="Z170" s="46">
        <v>32</v>
      </c>
      <c r="AA170" s="42">
        <v>101</v>
      </c>
      <c r="AB170" s="46">
        <v>59.41</v>
      </c>
    </row>
    <row r="171" spans="1:28" s="420" customFormat="1" x14ac:dyDescent="0.25">
      <c r="A171" s="460"/>
      <c r="B171" s="41" t="s">
        <v>504</v>
      </c>
      <c r="C171" s="42">
        <v>1</v>
      </c>
      <c r="D171" s="43">
        <v>89654342</v>
      </c>
      <c r="E171" s="42" t="s">
        <v>23</v>
      </c>
      <c r="F171" s="42" t="s">
        <v>35</v>
      </c>
      <c r="G171" s="47" t="s">
        <v>25</v>
      </c>
      <c r="H171" s="41" t="s">
        <v>26</v>
      </c>
      <c r="I171" s="44" t="s">
        <v>828</v>
      </c>
      <c r="J171" s="45" t="s">
        <v>829</v>
      </c>
      <c r="K171" s="47" t="s">
        <v>109</v>
      </c>
      <c r="L171" s="41"/>
      <c r="M171" s="41"/>
      <c r="S171" s="42"/>
      <c r="T171" s="47"/>
      <c r="U171" s="41"/>
      <c r="V171" s="41" t="s">
        <v>582</v>
      </c>
      <c r="W171" s="41" t="s">
        <v>830</v>
      </c>
      <c r="X171" s="41" t="s">
        <v>831</v>
      </c>
      <c r="Y171" s="42">
        <v>52</v>
      </c>
      <c r="Z171" s="46">
        <v>50</v>
      </c>
      <c r="AA171" s="42">
        <v>71</v>
      </c>
      <c r="AB171" s="46">
        <v>77.459999999999994</v>
      </c>
    </row>
    <row r="172" spans="1:28" s="420" customFormat="1" ht="45" x14ac:dyDescent="0.25">
      <c r="A172" s="460"/>
      <c r="B172" s="41" t="s">
        <v>504</v>
      </c>
      <c r="C172" s="42">
        <v>5</v>
      </c>
      <c r="D172" s="43">
        <v>158603804</v>
      </c>
      <c r="E172" s="42" t="s">
        <v>24</v>
      </c>
      <c r="F172" s="42" t="s">
        <v>23</v>
      </c>
      <c r="G172" s="47" t="s">
        <v>25</v>
      </c>
      <c r="H172" s="41" t="s">
        <v>26</v>
      </c>
      <c r="I172" s="44" t="s">
        <v>832</v>
      </c>
      <c r="J172" s="45" t="s">
        <v>833</v>
      </c>
      <c r="K172" s="47" t="s">
        <v>29</v>
      </c>
      <c r="L172" s="41" t="s">
        <v>39</v>
      </c>
      <c r="M172" s="41" t="s">
        <v>51</v>
      </c>
      <c r="N172" s="41">
        <v>199990596</v>
      </c>
      <c r="S172" s="42"/>
      <c r="T172" s="47"/>
      <c r="U172" s="41"/>
      <c r="V172" s="41" t="s">
        <v>46</v>
      </c>
      <c r="W172" s="41" t="s">
        <v>834</v>
      </c>
      <c r="X172" s="41" t="s">
        <v>835</v>
      </c>
      <c r="Y172" s="42">
        <v>124</v>
      </c>
      <c r="Z172" s="46">
        <v>12.9</v>
      </c>
      <c r="AA172" s="42">
        <v>86</v>
      </c>
      <c r="AB172" s="46">
        <v>6.98</v>
      </c>
    </row>
    <row r="173" spans="1:28" s="420" customFormat="1" x14ac:dyDescent="0.25">
      <c r="A173" s="460"/>
      <c r="B173" s="41" t="s">
        <v>504</v>
      </c>
      <c r="C173" s="42">
        <v>19</v>
      </c>
      <c r="D173" s="43">
        <v>56284144</v>
      </c>
      <c r="E173" s="42" t="s">
        <v>43</v>
      </c>
      <c r="F173" s="42" t="s">
        <v>23</v>
      </c>
      <c r="G173" s="47" t="s">
        <v>25</v>
      </c>
      <c r="H173" s="41" t="s">
        <v>26</v>
      </c>
      <c r="I173" s="44" t="s">
        <v>836</v>
      </c>
      <c r="J173" s="45" t="s">
        <v>837</v>
      </c>
      <c r="K173" s="47" t="s">
        <v>29</v>
      </c>
      <c r="L173" s="41" t="s">
        <v>30</v>
      </c>
      <c r="M173" s="41"/>
      <c r="S173" s="42"/>
      <c r="T173" s="47"/>
      <c r="U173" s="41"/>
      <c r="V173" s="41" t="s">
        <v>838</v>
      </c>
      <c r="W173" s="41" t="s">
        <v>839</v>
      </c>
      <c r="X173" s="41" t="s">
        <v>840</v>
      </c>
      <c r="Y173" s="42">
        <v>101</v>
      </c>
      <c r="Z173" s="46">
        <v>14.85</v>
      </c>
      <c r="AA173" s="42">
        <v>105</v>
      </c>
      <c r="AB173" s="46">
        <v>18.100000000000001</v>
      </c>
    </row>
    <row r="174" spans="1:28" s="420" customFormat="1" x14ac:dyDescent="0.25">
      <c r="A174" s="460"/>
      <c r="B174" s="41" t="s">
        <v>504</v>
      </c>
      <c r="C174" s="42">
        <v>2</v>
      </c>
      <c r="D174" s="43">
        <v>1677466</v>
      </c>
      <c r="E174" s="42" t="s">
        <v>23</v>
      </c>
      <c r="F174" s="42" t="s">
        <v>35</v>
      </c>
      <c r="G174" s="47" t="s">
        <v>25</v>
      </c>
      <c r="H174" s="41" t="s">
        <v>26</v>
      </c>
      <c r="I174" s="44" t="s">
        <v>841</v>
      </c>
      <c r="J174" s="45" t="s">
        <v>842</v>
      </c>
      <c r="K174" s="47" t="s">
        <v>29</v>
      </c>
      <c r="L174" s="41" t="s">
        <v>39</v>
      </c>
      <c r="M174" s="41" t="s">
        <v>56</v>
      </c>
      <c r="S174" s="42"/>
      <c r="T174" s="47"/>
      <c r="U174" s="41"/>
      <c r="V174" s="41" t="s">
        <v>843</v>
      </c>
      <c r="W174" s="41" t="s">
        <v>844</v>
      </c>
      <c r="X174" s="41" t="s">
        <v>845</v>
      </c>
      <c r="Y174" s="42">
        <v>188</v>
      </c>
      <c r="Z174" s="46">
        <v>19.68</v>
      </c>
      <c r="AA174" s="42">
        <v>182</v>
      </c>
      <c r="AB174" s="46">
        <v>16.48</v>
      </c>
    </row>
    <row r="175" spans="1:28" s="420" customFormat="1" x14ac:dyDescent="0.25">
      <c r="A175" s="460"/>
      <c r="B175" s="41" t="s">
        <v>504</v>
      </c>
      <c r="C175" s="42">
        <v>17</v>
      </c>
      <c r="D175" s="43">
        <v>46002846</v>
      </c>
      <c r="E175" s="42" t="s">
        <v>23</v>
      </c>
      <c r="F175" s="42" t="s">
        <v>35</v>
      </c>
      <c r="G175" s="47" t="s">
        <v>25</v>
      </c>
      <c r="H175" s="41" t="s">
        <v>26</v>
      </c>
      <c r="I175" s="44" t="s">
        <v>846</v>
      </c>
      <c r="J175" s="45" t="s">
        <v>847</v>
      </c>
      <c r="K175" s="47" t="s">
        <v>29</v>
      </c>
      <c r="L175" s="41" t="s">
        <v>39</v>
      </c>
      <c r="M175" s="41" t="s">
        <v>51</v>
      </c>
      <c r="S175" s="42"/>
      <c r="T175" s="47"/>
      <c r="U175" s="41"/>
      <c r="V175" s="41" t="s">
        <v>848</v>
      </c>
      <c r="W175" s="41" t="s">
        <v>849</v>
      </c>
      <c r="X175" s="41" t="s">
        <v>850</v>
      </c>
      <c r="Y175" s="42">
        <v>192</v>
      </c>
      <c r="Z175" s="46">
        <v>20.309999999999999</v>
      </c>
      <c r="AA175" s="42">
        <v>127</v>
      </c>
      <c r="AB175" s="46">
        <v>21.26</v>
      </c>
    </row>
    <row r="176" spans="1:28" s="420" customFormat="1" x14ac:dyDescent="0.25">
      <c r="A176" s="460"/>
      <c r="B176" s="41" t="s">
        <v>504</v>
      </c>
      <c r="C176" s="42">
        <v>1</v>
      </c>
      <c r="D176" s="43">
        <v>92540784</v>
      </c>
      <c r="E176" s="42" t="s">
        <v>24</v>
      </c>
      <c r="F176" s="42" t="s">
        <v>43</v>
      </c>
      <c r="G176" s="47" t="s">
        <v>25</v>
      </c>
      <c r="H176" s="41" t="s">
        <v>26</v>
      </c>
      <c r="I176" s="44" t="s">
        <v>851</v>
      </c>
      <c r="J176" s="45" t="s">
        <v>852</v>
      </c>
      <c r="K176" s="47" t="s">
        <v>29</v>
      </c>
      <c r="L176" s="41" t="s">
        <v>92</v>
      </c>
      <c r="M176" s="41"/>
      <c r="S176" s="42"/>
      <c r="T176" s="47"/>
      <c r="U176" s="41"/>
      <c r="V176" s="41" t="s">
        <v>223</v>
      </c>
      <c r="W176" s="41" t="s">
        <v>853</v>
      </c>
      <c r="X176" s="41" t="s">
        <v>854</v>
      </c>
      <c r="Y176" s="42">
        <v>67</v>
      </c>
      <c r="Z176" s="46">
        <v>20.9</v>
      </c>
      <c r="AA176" s="42">
        <v>87</v>
      </c>
      <c r="AB176" s="46">
        <v>6.9</v>
      </c>
    </row>
    <row r="177" spans="1:28" s="420" customFormat="1" x14ac:dyDescent="0.25">
      <c r="A177" s="460"/>
      <c r="B177" s="41" t="s">
        <v>504</v>
      </c>
      <c r="C177" s="42">
        <v>17</v>
      </c>
      <c r="D177" s="43">
        <v>46865315</v>
      </c>
      <c r="E177" s="42" t="s">
        <v>23</v>
      </c>
      <c r="F177" s="42" t="s">
        <v>24</v>
      </c>
      <c r="G177" s="47" t="s">
        <v>25</v>
      </c>
      <c r="H177" s="41" t="s">
        <v>26</v>
      </c>
      <c r="I177" s="44" t="s">
        <v>855</v>
      </c>
      <c r="J177" s="45" t="s">
        <v>856</v>
      </c>
      <c r="K177" s="47" t="s">
        <v>29</v>
      </c>
      <c r="L177" s="41" t="s">
        <v>39</v>
      </c>
      <c r="M177" s="41" t="s">
        <v>31</v>
      </c>
      <c r="N177" s="420">
        <v>767480230</v>
      </c>
      <c r="Q177" s="420" t="s">
        <v>4181</v>
      </c>
      <c r="S177" s="42"/>
      <c r="T177" s="47"/>
      <c r="U177" s="41"/>
      <c r="V177" s="41" t="s">
        <v>848</v>
      </c>
      <c r="W177" s="41" t="s">
        <v>857</v>
      </c>
      <c r="X177" s="41" t="s">
        <v>858</v>
      </c>
      <c r="Y177" s="42">
        <v>163</v>
      </c>
      <c r="Z177" s="46">
        <v>24.54</v>
      </c>
      <c r="AA177" s="42">
        <v>98</v>
      </c>
      <c r="AB177" s="46">
        <v>36.729999999999997</v>
      </c>
    </row>
    <row r="178" spans="1:28" s="420" customFormat="1" x14ac:dyDescent="0.25">
      <c r="A178" s="460"/>
      <c r="B178" s="41" t="s">
        <v>504</v>
      </c>
      <c r="C178" s="42">
        <v>1</v>
      </c>
      <c r="D178" s="43">
        <v>196712674</v>
      </c>
      <c r="E178" s="42" t="s">
        <v>23</v>
      </c>
      <c r="F178" s="42" t="s">
        <v>43</v>
      </c>
      <c r="G178" s="47" t="s">
        <v>25</v>
      </c>
      <c r="H178" s="41" t="s">
        <v>26</v>
      </c>
      <c r="I178" s="44" t="s">
        <v>859</v>
      </c>
      <c r="J178" s="45" t="s">
        <v>860</v>
      </c>
      <c r="K178" s="47" t="s">
        <v>29</v>
      </c>
      <c r="L178" s="41" t="s">
        <v>92</v>
      </c>
      <c r="M178" s="41" t="s">
        <v>51</v>
      </c>
      <c r="N178" s="420">
        <v>62625015</v>
      </c>
      <c r="Q178" s="420" t="s">
        <v>4193</v>
      </c>
      <c r="R178" s="420" t="s">
        <v>4187</v>
      </c>
      <c r="S178" s="42"/>
      <c r="T178" s="47"/>
      <c r="U178" s="41"/>
      <c r="V178" s="41" t="s">
        <v>597</v>
      </c>
      <c r="W178" s="41" t="s">
        <v>861</v>
      </c>
      <c r="X178" s="41" t="s">
        <v>862</v>
      </c>
      <c r="Y178" s="42">
        <v>154</v>
      </c>
      <c r="Z178" s="46">
        <v>24.68</v>
      </c>
      <c r="AA178" s="42">
        <v>194</v>
      </c>
      <c r="AB178" s="46">
        <v>32.47</v>
      </c>
    </row>
    <row r="179" spans="1:28" s="420" customFormat="1" x14ac:dyDescent="0.25">
      <c r="A179" s="460"/>
      <c r="B179" s="41" t="s">
        <v>504</v>
      </c>
      <c r="C179" s="42">
        <v>9</v>
      </c>
      <c r="D179" s="43">
        <v>4118774</v>
      </c>
      <c r="E179" s="42" t="s">
        <v>43</v>
      </c>
      <c r="F179" s="42" t="s">
        <v>23</v>
      </c>
      <c r="G179" s="47" t="s">
        <v>25</v>
      </c>
      <c r="H179" s="41" t="s">
        <v>26</v>
      </c>
      <c r="I179" s="44" t="s">
        <v>863</v>
      </c>
      <c r="J179" s="45" t="s">
        <v>864</v>
      </c>
      <c r="K179" s="47" t="s">
        <v>29</v>
      </c>
      <c r="L179" s="41" t="s">
        <v>30</v>
      </c>
      <c r="M179" s="41" t="s">
        <v>31</v>
      </c>
      <c r="S179" s="42"/>
      <c r="T179" s="47"/>
      <c r="U179" s="41"/>
      <c r="V179" s="41" t="s">
        <v>865</v>
      </c>
      <c r="W179" s="41" t="s">
        <v>866</v>
      </c>
      <c r="X179" s="41" t="s">
        <v>867</v>
      </c>
      <c r="Y179" s="42">
        <v>118</v>
      </c>
      <c r="Z179" s="46">
        <v>28.81</v>
      </c>
      <c r="AA179" s="42">
        <v>119</v>
      </c>
      <c r="AB179" s="46">
        <v>25.21</v>
      </c>
    </row>
    <row r="180" spans="1:28" s="420" customFormat="1" ht="60" x14ac:dyDescent="0.25">
      <c r="A180" s="460"/>
      <c r="B180" s="41" t="s">
        <v>504</v>
      </c>
      <c r="C180" s="42">
        <v>10</v>
      </c>
      <c r="D180" s="43">
        <v>55581985</v>
      </c>
      <c r="E180" s="42" t="s">
        <v>43</v>
      </c>
      <c r="F180" s="42" t="s">
        <v>24</v>
      </c>
      <c r="G180" s="47" t="s">
        <v>25</v>
      </c>
      <c r="H180" s="41" t="s">
        <v>589</v>
      </c>
      <c r="I180" s="44" t="s">
        <v>868</v>
      </c>
      <c r="J180" s="45" t="s">
        <v>869</v>
      </c>
      <c r="K180" s="47" t="s">
        <v>109</v>
      </c>
      <c r="L180" s="41"/>
      <c r="M180" s="41"/>
      <c r="S180" s="42"/>
      <c r="T180" s="47"/>
      <c r="U180" s="41"/>
      <c r="V180" s="41" t="s">
        <v>752</v>
      </c>
      <c r="W180" s="41" t="s">
        <v>870</v>
      </c>
      <c r="X180" s="41" t="s">
        <v>871</v>
      </c>
      <c r="Y180" s="42">
        <v>69</v>
      </c>
      <c r="Z180" s="46">
        <v>28.99</v>
      </c>
      <c r="AA180" s="42">
        <v>81</v>
      </c>
      <c r="AB180" s="46">
        <v>38.270000000000003</v>
      </c>
    </row>
    <row r="181" spans="1:28" s="420" customFormat="1" x14ac:dyDescent="0.25">
      <c r="A181" s="460"/>
      <c r="B181" s="41" t="s">
        <v>504</v>
      </c>
      <c r="C181" s="42">
        <v>12</v>
      </c>
      <c r="D181" s="43">
        <v>14849322</v>
      </c>
      <c r="E181" s="42" t="s">
        <v>35</v>
      </c>
      <c r="F181" s="42" t="s">
        <v>43</v>
      </c>
      <c r="G181" s="47" t="s">
        <v>25</v>
      </c>
      <c r="H181" s="41" t="s">
        <v>26</v>
      </c>
      <c r="I181" s="44" t="s">
        <v>872</v>
      </c>
      <c r="J181" s="45" t="s">
        <v>873</v>
      </c>
      <c r="K181" s="47" t="s">
        <v>29</v>
      </c>
      <c r="L181" s="41" t="s">
        <v>39</v>
      </c>
      <c r="M181" s="41" t="s">
        <v>51</v>
      </c>
      <c r="S181" s="42"/>
      <c r="T181" s="47"/>
      <c r="U181" s="41"/>
      <c r="V181" s="41" t="s">
        <v>623</v>
      </c>
      <c r="W181" s="41" t="s">
        <v>874</v>
      </c>
      <c r="X181" s="41" t="s">
        <v>875</v>
      </c>
      <c r="Y181" s="42">
        <v>85</v>
      </c>
      <c r="Z181" s="46">
        <v>29.41</v>
      </c>
      <c r="AA181" s="42">
        <v>52</v>
      </c>
      <c r="AB181" s="46">
        <v>32.69</v>
      </c>
    </row>
    <row r="182" spans="1:28" s="420" customFormat="1" x14ac:dyDescent="0.25">
      <c r="A182" s="460"/>
      <c r="B182" s="41" t="s">
        <v>504</v>
      </c>
      <c r="C182" s="42">
        <v>16</v>
      </c>
      <c r="D182" s="43">
        <v>21122964</v>
      </c>
      <c r="E182" s="42" t="s">
        <v>43</v>
      </c>
      <c r="F182" s="42" t="s">
        <v>24</v>
      </c>
      <c r="G182" s="47" t="s">
        <v>25</v>
      </c>
      <c r="H182" s="41" t="s">
        <v>26</v>
      </c>
      <c r="I182" s="44" t="s">
        <v>876</v>
      </c>
      <c r="J182" s="45" t="s">
        <v>877</v>
      </c>
      <c r="K182" s="47" t="s">
        <v>29</v>
      </c>
      <c r="L182" s="41"/>
      <c r="M182" s="41" t="s">
        <v>56</v>
      </c>
      <c r="S182" s="42"/>
      <c r="T182" s="47"/>
      <c r="U182" s="41"/>
      <c r="V182" s="41" t="s">
        <v>623</v>
      </c>
      <c r="W182" s="41" t="s">
        <v>878</v>
      </c>
      <c r="X182" s="41" t="s">
        <v>879</v>
      </c>
      <c r="Y182" s="42">
        <v>89</v>
      </c>
      <c r="Z182" s="46">
        <v>30.34</v>
      </c>
      <c r="AA182" s="42">
        <v>66</v>
      </c>
      <c r="AB182" s="46">
        <v>39.39</v>
      </c>
    </row>
    <row r="183" spans="1:28" s="420" customFormat="1" x14ac:dyDescent="0.25">
      <c r="A183" s="460"/>
      <c r="B183" s="41" t="s">
        <v>504</v>
      </c>
      <c r="C183" s="42">
        <v>1</v>
      </c>
      <c r="D183" s="43">
        <v>39879371</v>
      </c>
      <c r="E183" s="42" t="s">
        <v>24</v>
      </c>
      <c r="F183" s="42" t="s">
        <v>23</v>
      </c>
      <c r="G183" s="47" t="s">
        <v>25</v>
      </c>
      <c r="H183" s="41" t="s">
        <v>880</v>
      </c>
      <c r="I183" s="44" t="s">
        <v>881</v>
      </c>
      <c r="J183" s="45" t="s">
        <v>882</v>
      </c>
      <c r="K183" s="47" t="s">
        <v>29</v>
      </c>
      <c r="L183" s="41"/>
      <c r="M183" s="41"/>
      <c r="N183" s="41">
        <v>2797379</v>
      </c>
      <c r="S183" s="42"/>
      <c r="T183" s="47"/>
      <c r="U183" s="41"/>
      <c r="V183" s="41" t="s">
        <v>883</v>
      </c>
      <c r="W183" s="41" t="s">
        <v>884</v>
      </c>
      <c r="X183" s="41" t="s">
        <v>885</v>
      </c>
      <c r="Y183" s="42">
        <v>21</v>
      </c>
      <c r="Z183" s="46">
        <v>33.33</v>
      </c>
      <c r="AA183" s="42">
        <v>12</v>
      </c>
      <c r="AB183" s="46">
        <v>25</v>
      </c>
    </row>
    <row r="184" spans="1:28" s="420" customFormat="1" x14ac:dyDescent="0.25">
      <c r="A184" s="460"/>
      <c r="B184" s="41" t="s">
        <v>504</v>
      </c>
      <c r="C184" s="42">
        <v>2</v>
      </c>
      <c r="D184" s="43">
        <v>96780924</v>
      </c>
      <c r="E184" s="42" t="s">
        <v>43</v>
      </c>
      <c r="F184" s="42" t="s">
        <v>24</v>
      </c>
      <c r="G184" s="47" t="s">
        <v>25</v>
      </c>
      <c r="H184" s="41" t="s">
        <v>26</v>
      </c>
      <c r="I184" s="44" t="s">
        <v>886</v>
      </c>
      <c r="J184" s="45" t="s">
        <v>887</v>
      </c>
      <c r="K184" s="47" t="s">
        <v>29</v>
      </c>
      <c r="L184" s="41" t="s">
        <v>30</v>
      </c>
      <c r="M184" s="41" t="s">
        <v>56</v>
      </c>
      <c r="S184" s="42"/>
      <c r="T184" s="47"/>
      <c r="U184" s="41"/>
      <c r="V184" s="41" t="s">
        <v>888</v>
      </c>
      <c r="W184" s="41" t="s">
        <v>889</v>
      </c>
      <c r="X184" s="41" t="s">
        <v>890</v>
      </c>
      <c r="Y184" s="42">
        <v>93</v>
      </c>
      <c r="Z184" s="46">
        <v>33.33</v>
      </c>
      <c r="AA184" s="42">
        <v>77</v>
      </c>
      <c r="AB184" s="46">
        <v>57.14</v>
      </c>
    </row>
    <row r="185" spans="1:28" s="420" customFormat="1" ht="30" x14ac:dyDescent="0.25">
      <c r="A185" s="460"/>
      <c r="B185" s="41" t="s">
        <v>504</v>
      </c>
      <c r="C185" s="42">
        <v>1</v>
      </c>
      <c r="D185" s="43">
        <v>150064049</v>
      </c>
      <c r="E185" s="42" t="s">
        <v>23</v>
      </c>
      <c r="F185" s="42" t="s">
        <v>35</v>
      </c>
      <c r="G185" s="47" t="s">
        <v>25</v>
      </c>
      <c r="H185" s="41" t="s">
        <v>168</v>
      </c>
      <c r="I185" s="44" t="s">
        <v>891</v>
      </c>
      <c r="J185" s="45" t="s">
        <v>892</v>
      </c>
      <c r="K185" s="47" t="s">
        <v>29</v>
      </c>
      <c r="L185" s="41" t="s">
        <v>39</v>
      </c>
      <c r="M185" s="41" t="s">
        <v>51</v>
      </c>
      <c r="S185" s="42"/>
      <c r="T185" s="47"/>
      <c r="U185" s="41"/>
      <c r="V185" s="41" t="s">
        <v>40</v>
      </c>
      <c r="W185" s="41" t="s">
        <v>893</v>
      </c>
      <c r="X185" s="41" t="s">
        <v>894</v>
      </c>
      <c r="Y185" s="42">
        <v>142</v>
      </c>
      <c r="Z185" s="46">
        <v>34.51</v>
      </c>
      <c r="AA185" s="42">
        <v>103</v>
      </c>
      <c r="AB185" s="46">
        <v>29.13</v>
      </c>
    </row>
    <row r="186" spans="1:28" s="420" customFormat="1" x14ac:dyDescent="0.25">
      <c r="A186" s="460"/>
      <c r="B186" s="41" t="s">
        <v>504</v>
      </c>
      <c r="C186" s="42">
        <v>13</v>
      </c>
      <c r="D186" s="43">
        <v>47409219</v>
      </c>
      <c r="E186" s="42" t="s">
        <v>43</v>
      </c>
      <c r="F186" s="42" t="s">
        <v>24</v>
      </c>
      <c r="G186" s="47" t="s">
        <v>25</v>
      </c>
      <c r="H186" s="41" t="s">
        <v>26</v>
      </c>
      <c r="I186" s="44" t="s">
        <v>895</v>
      </c>
      <c r="J186" s="45" t="s">
        <v>896</v>
      </c>
      <c r="K186" s="47" t="s">
        <v>29</v>
      </c>
      <c r="L186" s="41" t="s">
        <v>30</v>
      </c>
      <c r="M186" s="41" t="s">
        <v>56</v>
      </c>
      <c r="S186" s="42"/>
      <c r="T186" s="47"/>
      <c r="U186" s="41"/>
      <c r="V186" s="41" t="s">
        <v>396</v>
      </c>
      <c r="W186" s="41" t="s">
        <v>897</v>
      </c>
      <c r="X186" s="41" t="s">
        <v>898</v>
      </c>
      <c r="Y186" s="42">
        <v>95</v>
      </c>
      <c r="Z186" s="46">
        <v>34.74</v>
      </c>
      <c r="AA186" s="42">
        <v>79</v>
      </c>
      <c r="AB186" s="46">
        <v>32.909999999999997</v>
      </c>
    </row>
    <row r="187" spans="1:28" s="420" customFormat="1" x14ac:dyDescent="0.25">
      <c r="A187" s="460"/>
      <c r="B187" s="41" t="s">
        <v>504</v>
      </c>
      <c r="C187" s="42">
        <v>3</v>
      </c>
      <c r="D187" s="43">
        <v>47459902</v>
      </c>
      <c r="E187" s="42" t="s">
        <v>899</v>
      </c>
      <c r="F187" s="42"/>
      <c r="G187" s="47" t="s">
        <v>61</v>
      </c>
      <c r="H187" s="41" t="s">
        <v>26</v>
      </c>
      <c r="I187" s="44" t="s">
        <v>900</v>
      </c>
      <c r="J187" s="45" t="s">
        <v>901</v>
      </c>
      <c r="K187" s="47" t="s">
        <v>81</v>
      </c>
      <c r="L187" s="41"/>
      <c r="M187" s="41"/>
      <c r="S187" s="42"/>
      <c r="T187" s="47"/>
      <c r="U187" s="41"/>
      <c r="V187" s="41" t="s">
        <v>618</v>
      </c>
      <c r="W187" s="41" t="s">
        <v>902</v>
      </c>
      <c r="X187" s="41" t="s">
        <v>903</v>
      </c>
      <c r="Y187" s="42">
        <v>117</v>
      </c>
      <c r="Z187" s="46">
        <v>35.04</v>
      </c>
      <c r="AA187" s="42">
        <v>80</v>
      </c>
      <c r="AB187" s="46">
        <v>41.25</v>
      </c>
    </row>
    <row r="188" spans="1:28" s="420" customFormat="1" x14ac:dyDescent="0.25">
      <c r="A188" s="460"/>
      <c r="B188" s="41" t="s">
        <v>504</v>
      </c>
      <c r="C188" s="42">
        <v>4</v>
      </c>
      <c r="D188" s="43">
        <v>2306391</v>
      </c>
      <c r="E188" s="42" t="s">
        <v>23</v>
      </c>
      <c r="F188" s="42" t="s">
        <v>35</v>
      </c>
      <c r="G188" s="47" t="s">
        <v>25</v>
      </c>
      <c r="H188" s="41" t="s">
        <v>26</v>
      </c>
      <c r="I188" s="44" t="s">
        <v>904</v>
      </c>
      <c r="J188" s="45" t="s">
        <v>905</v>
      </c>
      <c r="K188" s="47" t="s">
        <v>29</v>
      </c>
      <c r="L188" s="41" t="s">
        <v>30</v>
      </c>
      <c r="M188" s="41" t="s">
        <v>31</v>
      </c>
      <c r="S188" s="42"/>
      <c r="T188" s="47"/>
      <c r="U188" s="41"/>
      <c r="V188" s="41" t="s">
        <v>592</v>
      </c>
      <c r="W188" s="41" t="s">
        <v>906</v>
      </c>
      <c r="X188" s="41" t="s">
        <v>907</v>
      </c>
      <c r="Y188" s="42">
        <v>128</v>
      </c>
      <c r="Z188" s="46">
        <v>36.72</v>
      </c>
      <c r="AA188" s="42">
        <v>73</v>
      </c>
      <c r="AB188" s="46">
        <v>39.729999999999997</v>
      </c>
    </row>
    <row r="189" spans="1:28" s="420" customFormat="1" x14ac:dyDescent="0.25">
      <c r="A189" s="460"/>
      <c r="B189" s="41" t="s">
        <v>504</v>
      </c>
      <c r="C189" s="42">
        <v>19</v>
      </c>
      <c r="D189" s="43">
        <v>56363606</v>
      </c>
      <c r="E189" s="42" t="s">
        <v>43</v>
      </c>
      <c r="F189" s="42" t="s">
        <v>24</v>
      </c>
      <c r="G189" s="47" t="s">
        <v>25</v>
      </c>
      <c r="H189" s="41" t="s">
        <v>26</v>
      </c>
      <c r="I189" s="44" t="s">
        <v>908</v>
      </c>
      <c r="J189" s="45" t="s">
        <v>909</v>
      </c>
      <c r="K189" s="47" t="s">
        <v>109</v>
      </c>
      <c r="L189" s="41"/>
      <c r="M189" s="41"/>
      <c r="S189" s="42"/>
      <c r="T189" s="47"/>
      <c r="U189" s="41"/>
      <c r="V189" s="41" t="s">
        <v>363</v>
      </c>
      <c r="W189" s="41" t="s">
        <v>910</v>
      </c>
      <c r="X189" s="41" t="s">
        <v>911</v>
      </c>
      <c r="Y189" s="42">
        <v>77</v>
      </c>
      <c r="Z189" s="46">
        <v>37.659999999999997</v>
      </c>
      <c r="AA189" s="42">
        <v>55</v>
      </c>
      <c r="AB189" s="46">
        <v>43.64</v>
      </c>
    </row>
    <row r="190" spans="1:28" s="420" customFormat="1" x14ac:dyDescent="0.25">
      <c r="A190" s="460"/>
      <c r="B190" s="41" t="s">
        <v>504</v>
      </c>
      <c r="C190" s="42">
        <v>6</v>
      </c>
      <c r="D190" s="43">
        <v>132059224</v>
      </c>
      <c r="E190" s="42" t="s">
        <v>912</v>
      </c>
      <c r="F190" s="42" t="s">
        <v>653</v>
      </c>
      <c r="G190" s="47" t="s">
        <v>160</v>
      </c>
      <c r="H190" s="41" t="s">
        <v>73</v>
      </c>
      <c r="I190" s="44" t="s">
        <v>913</v>
      </c>
      <c r="J190" s="45" t="s">
        <v>914</v>
      </c>
      <c r="K190" s="47" t="s">
        <v>64</v>
      </c>
      <c r="L190" s="41"/>
      <c r="M190" s="41"/>
      <c r="S190" s="42"/>
      <c r="T190" s="47"/>
      <c r="U190" s="41"/>
      <c r="V190" s="41" t="s">
        <v>65</v>
      </c>
      <c r="W190" s="41" t="s">
        <v>915</v>
      </c>
      <c r="X190" s="41" t="s">
        <v>916</v>
      </c>
      <c r="Y190" s="42">
        <v>120</v>
      </c>
      <c r="Z190" s="46">
        <v>38.33</v>
      </c>
      <c r="AA190" s="42">
        <v>81</v>
      </c>
      <c r="AB190" s="46">
        <v>35.799999999999997</v>
      </c>
    </row>
    <row r="191" spans="1:28" s="420" customFormat="1" x14ac:dyDescent="0.25">
      <c r="A191" s="460"/>
      <c r="B191" s="41" t="s">
        <v>504</v>
      </c>
      <c r="C191" s="42">
        <v>4</v>
      </c>
      <c r="D191" s="43">
        <v>114275899</v>
      </c>
      <c r="E191" s="42" t="s">
        <v>23</v>
      </c>
      <c r="F191" s="42" t="s">
        <v>35</v>
      </c>
      <c r="G191" s="47" t="s">
        <v>25</v>
      </c>
      <c r="H191" s="41" t="s">
        <v>36</v>
      </c>
      <c r="I191" s="44" t="s">
        <v>917</v>
      </c>
      <c r="J191" s="45" t="s">
        <v>918</v>
      </c>
      <c r="K191" s="47" t="s">
        <v>29</v>
      </c>
      <c r="L191" s="41" t="s">
        <v>39</v>
      </c>
      <c r="M191" s="41" t="s">
        <v>51</v>
      </c>
      <c r="S191" s="42"/>
      <c r="T191" s="47"/>
      <c r="U191" s="41"/>
      <c r="V191" s="41" t="s">
        <v>919</v>
      </c>
      <c r="W191" s="41" t="s">
        <v>920</v>
      </c>
      <c r="X191" s="41" t="s">
        <v>921</v>
      </c>
      <c r="Y191" s="42">
        <v>111</v>
      </c>
      <c r="Z191" s="46">
        <v>39.64</v>
      </c>
      <c r="AA191" s="42">
        <v>90</v>
      </c>
      <c r="AB191" s="46">
        <v>34.44</v>
      </c>
    </row>
    <row r="192" spans="1:28" s="420" customFormat="1" x14ac:dyDescent="0.25">
      <c r="A192" s="460"/>
      <c r="B192" s="41" t="s">
        <v>504</v>
      </c>
      <c r="C192" s="42">
        <v>8</v>
      </c>
      <c r="D192" s="43">
        <v>18662253</v>
      </c>
      <c r="E192" s="42" t="s">
        <v>23</v>
      </c>
      <c r="F192" s="42" t="s">
        <v>35</v>
      </c>
      <c r="G192" s="47" t="s">
        <v>25</v>
      </c>
      <c r="H192" s="41" t="s">
        <v>26</v>
      </c>
      <c r="I192" s="44" t="s">
        <v>922</v>
      </c>
      <c r="J192" s="45" t="s">
        <v>923</v>
      </c>
      <c r="K192" s="47" t="s">
        <v>29</v>
      </c>
      <c r="L192" s="41" t="s">
        <v>30</v>
      </c>
      <c r="M192" s="41" t="s">
        <v>31</v>
      </c>
      <c r="S192" s="42"/>
      <c r="T192" s="47"/>
      <c r="U192" s="41"/>
      <c r="V192" s="41" t="s">
        <v>924</v>
      </c>
      <c r="W192" s="41" t="s">
        <v>925</v>
      </c>
      <c r="X192" s="41" t="s">
        <v>926</v>
      </c>
      <c r="Y192" s="42">
        <v>64</v>
      </c>
      <c r="Z192" s="46">
        <v>43.75</v>
      </c>
      <c r="AA192" s="42">
        <v>47</v>
      </c>
      <c r="AB192" s="46">
        <v>70.209999999999994</v>
      </c>
    </row>
    <row r="193" spans="1:28" s="420" customFormat="1" x14ac:dyDescent="0.25">
      <c r="A193" s="460"/>
      <c r="B193" s="41" t="s">
        <v>504</v>
      </c>
      <c r="C193" s="42">
        <v>19</v>
      </c>
      <c r="D193" s="43">
        <v>44005888</v>
      </c>
      <c r="E193" s="42" t="s">
        <v>43</v>
      </c>
      <c r="F193" s="42" t="s">
        <v>24</v>
      </c>
      <c r="G193" s="47" t="s">
        <v>25</v>
      </c>
      <c r="H193" s="41" t="s">
        <v>26</v>
      </c>
      <c r="I193" s="44" t="s">
        <v>927</v>
      </c>
      <c r="J193" s="45" t="s">
        <v>928</v>
      </c>
      <c r="K193" s="47" t="s">
        <v>29</v>
      </c>
      <c r="L193" s="41" t="s">
        <v>39</v>
      </c>
      <c r="M193" s="41" t="s">
        <v>51</v>
      </c>
      <c r="S193" s="42"/>
      <c r="T193" s="47"/>
      <c r="U193" s="41"/>
      <c r="V193" s="41" t="s">
        <v>496</v>
      </c>
      <c r="W193" s="41" t="s">
        <v>929</v>
      </c>
      <c r="X193" s="41" t="s">
        <v>930</v>
      </c>
      <c r="Y193" s="42">
        <v>115</v>
      </c>
      <c r="Z193" s="46">
        <v>45.22</v>
      </c>
      <c r="AA193" s="42">
        <v>49</v>
      </c>
      <c r="AB193" s="46">
        <v>44.9</v>
      </c>
    </row>
    <row r="194" spans="1:28" s="420" customFormat="1" x14ac:dyDescent="0.25">
      <c r="A194" s="460"/>
      <c r="B194" s="41" t="s">
        <v>504</v>
      </c>
      <c r="C194" s="42">
        <v>11</v>
      </c>
      <c r="D194" s="43">
        <v>120856836</v>
      </c>
      <c r="E194" s="42" t="s">
        <v>23</v>
      </c>
      <c r="F194" s="42" t="s">
        <v>43</v>
      </c>
      <c r="G194" s="47" t="s">
        <v>25</v>
      </c>
      <c r="H194" s="41" t="s">
        <v>26</v>
      </c>
      <c r="I194" s="44" t="s">
        <v>931</v>
      </c>
      <c r="J194" s="45" t="s">
        <v>932</v>
      </c>
      <c r="K194" s="47" t="s">
        <v>29</v>
      </c>
      <c r="L194" s="41" t="s">
        <v>39</v>
      </c>
      <c r="M194" s="41" t="s">
        <v>51</v>
      </c>
      <c r="S194" s="42"/>
      <c r="T194" s="47"/>
      <c r="U194" s="41"/>
      <c r="V194" s="41" t="s">
        <v>613</v>
      </c>
      <c r="W194" s="41" t="s">
        <v>933</v>
      </c>
      <c r="X194" s="41" t="s">
        <v>934</v>
      </c>
      <c r="Y194" s="42">
        <v>64</v>
      </c>
      <c r="Z194" s="46">
        <v>53.13</v>
      </c>
      <c r="AA194" s="42">
        <v>39</v>
      </c>
      <c r="AB194" s="46">
        <v>66.67</v>
      </c>
    </row>
    <row r="195" spans="1:28" s="420" customFormat="1" x14ac:dyDescent="0.25">
      <c r="A195" s="460"/>
      <c r="B195" s="41" t="s">
        <v>504</v>
      </c>
      <c r="C195" s="42">
        <v>19</v>
      </c>
      <c r="D195" s="43">
        <v>7976136</v>
      </c>
      <c r="E195" s="42" t="s">
        <v>23</v>
      </c>
      <c r="F195" s="42" t="s">
        <v>43</v>
      </c>
      <c r="G195" s="47" t="s">
        <v>25</v>
      </c>
      <c r="H195" s="41" t="s">
        <v>26</v>
      </c>
      <c r="I195" s="44" t="s">
        <v>935</v>
      </c>
      <c r="J195" s="45" t="s">
        <v>936</v>
      </c>
      <c r="K195" s="47" t="s">
        <v>29</v>
      </c>
      <c r="L195" s="41" t="s">
        <v>30</v>
      </c>
      <c r="M195" s="41" t="s">
        <v>56</v>
      </c>
      <c r="S195" s="42"/>
      <c r="T195" s="47"/>
      <c r="U195" s="41"/>
      <c r="V195" s="41" t="s">
        <v>32</v>
      </c>
      <c r="W195" s="41" t="s">
        <v>937</v>
      </c>
      <c r="X195" s="41" t="s">
        <v>938</v>
      </c>
      <c r="Y195" s="42">
        <v>56</v>
      </c>
      <c r="Z195" s="46">
        <v>64.290000000000006</v>
      </c>
      <c r="AA195" s="42">
        <v>21</v>
      </c>
      <c r="AB195" s="46">
        <v>76.19</v>
      </c>
    </row>
    <row r="196" spans="1:28" s="421" customFormat="1" x14ac:dyDescent="0.25">
      <c r="A196" s="460"/>
      <c r="B196" s="48" t="s">
        <v>153</v>
      </c>
      <c r="C196" s="49">
        <v>1</v>
      </c>
      <c r="D196" s="50">
        <v>2318861</v>
      </c>
      <c r="E196" s="49" t="s">
        <v>23</v>
      </c>
      <c r="F196" s="49" t="s">
        <v>43</v>
      </c>
      <c r="G196" s="54" t="s">
        <v>25</v>
      </c>
      <c r="H196" s="48" t="s">
        <v>73</v>
      </c>
      <c r="I196" s="51" t="s">
        <v>939</v>
      </c>
      <c r="J196" s="52" t="s">
        <v>940</v>
      </c>
      <c r="K196" s="54" t="s">
        <v>29</v>
      </c>
      <c r="L196" s="48" t="s">
        <v>39</v>
      </c>
      <c r="M196" s="48" t="s">
        <v>31</v>
      </c>
      <c r="S196" s="49"/>
      <c r="T196" s="54"/>
      <c r="U196" s="48"/>
      <c r="V196" s="48" t="s">
        <v>533</v>
      </c>
      <c r="W196" s="48" t="s">
        <v>941</v>
      </c>
      <c r="X196" s="48" t="s">
        <v>942</v>
      </c>
      <c r="Y196" s="49">
        <v>74</v>
      </c>
      <c r="Z196" s="53">
        <v>0</v>
      </c>
      <c r="AA196" s="49">
        <v>68</v>
      </c>
      <c r="AB196" s="53">
        <v>20.59</v>
      </c>
    </row>
    <row r="197" spans="1:28" s="421" customFormat="1" x14ac:dyDescent="0.25">
      <c r="A197" s="460"/>
      <c r="B197" s="48" t="s">
        <v>153</v>
      </c>
      <c r="C197" s="49">
        <v>1</v>
      </c>
      <c r="D197" s="50">
        <v>27056166</v>
      </c>
      <c r="E197" s="49" t="s">
        <v>43</v>
      </c>
      <c r="F197" s="49" t="s">
        <v>23</v>
      </c>
      <c r="G197" s="54" t="s">
        <v>25</v>
      </c>
      <c r="H197" s="48" t="s">
        <v>26</v>
      </c>
      <c r="I197" s="51" t="s">
        <v>943</v>
      </c>
      <c r="J197" s="52" t="s">
        <v>944</v>
      </c>
      <c r="K197" s="54" t="s">
        <v>29</v>
      </c>
      <c r="L197" s="48" t="s">
        <v>39</v>
      </c>
      <c r="M197" s="48" t="s">
        <v>56</v>
      </c>
      <c r="S197" s="49"/>
      <c r="T197" s="54"/>
      <c r="U197" s="48"/>
      <c r="V197" s="48" t="s">
        <v>945</v>
      </c>
      <c r="W197" s="48" t="s">
        <v>946</v>
      </c>
      <c r="X197" s="48" t="s">
        <v>947</v>
      </c>
      <c r="Y197" s="49">
        <v>91</v>
      </c>
      <c r="Z197" s="53">
        <v>0</v>
      </c>
      <c r="AA197" s="49">
        <v>78</v>
      </c>
      <c r="AB197" s="53">
        <v>42.31</v>
      </c>
    </row>
    <row r="198" spans="1:28" s="421" customFormat="1" x14ac:dyDescent="0.25">
      <c r="A198" s="460"/>
      <c r="B198" s="48" t="s">
        <v>153</v>
      </c>
      <c r="C198" s="49">
        <v>1</v>
      </c>
      <c r="D198" s="50">
        <v>52838928</v>
      </c>
      <c r="E198" s="49" t="s">
        <v>43</v>
      </c>
      <c r="F198" s="49" t="s">
        <v>24</v>
      </c>
      <c r="G198" s="54" t="s">
        <v>25</v>
      </c>
      <c r="H198" s="48" t="s">
        <v>26</v>
      </c>
      <c r="I198" s="51" t="s">
        <v>948</v>
      </c>
      <c r="J198" s="52" t="s">
        <v>949</v>
      </c>
      <c r="K198" s="54" t="s">
        <v>29</v>
      </c>
      <c r="L198" s="48" t="s">
        <v>30</v>
      </c>
      <c r="M198" s="48" t="s">
        <v>56</v>
      </c>
      <c r="S198" s="49"/>
      <c r="T198" s="54"/>
      <c r="U198" s="48"/>
      <c r="V198" s="48" t="s">
        <v>950</v>
      </c>
      <c r="W198" s="48" t="s">
        <v>951</v>
      </c>
      <c r="X198" s="48" t="s">
        <v>952</v>
      </c>
      <c r="Y198" s="49">
        <v>101</v>
      </c>
      <c r="Z198" s="53">
        <v>0</v>
      </c>
      <c r="AA198" s="49">
        <v>67</v>
      </c>
      <c r="AB198" s="53">
        <v>52.24</v>
      </c>
    </row>
    <row r="199" spans="1:28" s="421" customFormat="1" x14ac:dyDescent="0.25">
      <c r="A199" s="460"/>
      <c r="B199" s="48" t="s">
        <v>153</v>
      </c>
      <c r="C199" s="49">
        <v>1</v>
      </c>
      <c r="D199" s="50">
        <v>101194719</v>
      </c>
      <c r="E199" s="49" t="s">
        <v>43</v>
      </c>
      <c r="F199" s="49" t="s">
        <v>24</v>
      </c>
      <c r="G199" s="54" t="s">
        <v>25</v>
      </c>
      <c r="H199" s="48" t="s">
        <v>36</v>
      </c>
      <c r="I199" s="51" t="s">
        <v>953</v>
      </c>
      <c r="J199" s="52" t="s">
        <v>954</v>
      </c>
      <c r="K199" s="54" t="s">
        <v>29</v>
      </c>
      <c r="L199" s="48" t="s">
        <v>30</v>
      </c>
      <c r="M199" s="48" t="s">
        <v>56</v>
      </c>
      <c r="S199" s="49"/>
      <c r="T199" s="54"/>
      <c r="U199" s="48"/>
      <c r="V199" s="48" t="s">
        <v>501</v>
      </c>
      <c r="W199" s="48" t="s">
        <v>955</v>
      </c>
      <c r="X199" s="48" t="s">
        <v>956</v>
      </c>
      <c r="Y199" s="49">
        <v>79</v>
      </c>
      <c r="Z199" s="53">
        <v>0</v>
      </c>
      <c r="AA199" s="49">
        <v>99</v>
      </c>
      <c r="AB199" s="53">
        <v>73.739999999999995</v>
      </c>
    </row>
    <row r="200" spans="1:28" s="421" customFormat="1" x14ac:dyDescent="0.25">
      <c r="A200" s="460"/>
      <c r="B200" s="48" t="s">
        <v>153</v>
      </c>
      <c r="C200" s="49">
        <v>1</v>
      </c>
      <c r="D200" s="50">
        <v>156526347</v>
      </c>
      <c r="E200" s="49" t="s">
        <v>43</v>
      </c>
      <c r="F200" s="49" t="s">
        <v>24</v>
      </c>
      <c r="G200" s="54" t="s">
        <v>25</v>
      </c>
      <c r="H200" s="48" t="s">
        <v>26</v>
      </c>
      <c r="I200" s="51" t="s">
        <v>957</v>
      </c>
      <c r="J200" s="52" t="s">
        <v>958</v>
      </c>
      <c r="K200" s="54" t="s">
        <v>29</v>
      </c>
      <c r="L200" s="48"/>
      <c r="M200" s="48" t="s">
        <v>51</v>
      </c>
      <c r="S200" s="49"/>
      <c r="T200" s="54"/>
      <c r="U200" s="48"/>
      <c r="V200" s="48" t="s">
        <v>165</v>
      </c>
      <c r="W200" s="48" t="s">
        <v>959</v>
      </c>
      <c r="X200" s="48" t="s">
        <v>960</v>
      </c>
      <c r="Y200" s="49">
        <v>114</v>
      </c>
      <c r="Z200" s="53">
        <v>0</v>
      </c>
      <c r="AA200" s="49">
        <v>126</v>
      </c>
      <c r="AB200" s="53">
        <v>60.32</v>
      </c>
    </row>
    <row r="201" spans="1:28" s="421" customFormat="1" x14ac:dyDescent="0.25">
      <c r="A201" s="460"/>
      <c r="B201" s="48" t="s">
        <v>153</v>
      </c>
      <c r="C201" s="49">
        <v>2</v>
      </c>
      <c r="D201" s="50">
        <v>11802329</v>
      </c>
      <c r="E201" s="49" t="s">
        <v>35</v>
      </c>
      <c r="F201" s="49" t="s">
        <v>24</v>
      </c>
      <c r="G201" s="54" t="s">
        <v>25</v>
      </c>
      <c r="H201" s="48" t="s">
        <v>26</v>
      </c>
      <c r="I201" s="51" t="s">
        <v>961</v>
      </c>
      <c r="J201" s="52" t="s">
        <v>962</v>
      </c>
      <c r="K201" s="54" t="s">
        <v>29</v>
      </c>
      <c r="L201" s="48"/>
      <c r="M201" s="48" t="s">
        <v>56</v>
      </c>
      <c r="S201" s="49"/>
      <c r="T201" s="54"/>
      <c r="U201" s="48"/>
      <c r="V201" s="48" t="s">
        <v>963</v>
      </c>
      <c r="W201" s="48" t="s">
        <v>964</v>
      </c>
      <c r="X201" s="48" t="s">
        <v>965</v>
      </c>
      <c r="Y201" s="49">
        <v>192</v>
      </c>
      <c r="Z201" s="53">
        <v>0</v>
      </c>
      <c r="AA201" s="49">
        <v>153</v>
      </c>
      <c r="AB201" s="53">
        <v>20.92</v>
      </c>
    </row>
    <row r="202" spans="1:28" s="421" customFormat="1" x14ac:dyDescent="0.25">
      <c r="A202" s="460"/>
      <c r="B202" s="48" t="s">
        <v>153</v>
      </c>
      <c r="C202" s="49">
        <v>2</v>
      </c>
      <c r="D202" s="50">
        <v>17697641</v>
      </c>
      <c r="E202" s="49" t="s">
        <v>35</v>
      </c>
      <c r="F202" s="49" t="s">
        <v>24</v>
      </c>
      <c r="G202" s="54" t="s">
        <v>25</v>
      </c>
      <c r="H202" s="48" t="s">
        <v>26</v>
      </c>
      <c r="I202" s="51" t="s">
        <v>966</v>
      </c>
      <c r="J202" s="52" t="s">
        <v>967</v>
      </c>
      <c r="K202" s="54" t="s">
        <v>29</v>
      </c>
      <c r="L202" s="48" t="s">
        <v>30</v>
      </c>
      <c r="M202" s="48" t="s">
        <v>51</v>
      </c>
      <c r="S202" s="49"/>
      <c r="T202" s="54"/>
      <c r="U202" s="48"/>
      <c r="V202" s="48" t="s">
        <v>865</v>
      </c>
      <c r="W202" s="48" t="s">
        <v>968</v>
      </c>
      <c r="X202" s="48" t="s">
        <v>969</v>
      </c>
      <c r="Y202" s="49">
        <v>267</v>
      </c>
      <c r="Z202" s="53">
        <v>0</v>
      </c>
      <c r="AA202" s="49">
        <v>215</v>
      </c>
      <c r="AB202" s="53">
        <v>17.21</v>
      </c>
    </row>
    <row r="203" spans="1:28" s="421" customFormat="1" x14ac:dyDescent="0.25">
      <c r="A203" s="460"/>
      <c r="B203" s="48" t="s">
        <v>153</v>
      </c>
      <c r="C203" s="49">
        <v>2</v>
      </c>
      <c r="D203" s="50">
        <v>129075654</v>
      </c>
      <c r="E203" s="49" t="s">
        <v>23</v>
      </c>
      <c r="F203" s="49" t="s">
        <v>35</v>
      </c>
      <c r="G203" s="54" t="s">
        <v>25</v>
      </c>
      <c r="H203" s="48" t="s">
        <v>26</v>
      </c>
      <c r="I203" s="51" t="s">
        <v>970</v>
      </c>
      <c r="J203" s="52" t="s">
        <v>971</v>
      </c>
      <c r="K203" s="54" t="s">
        <v>29</v>
      </c>
      <c r="L203" s="48" t="s">
        <v>30</v>
      </c>
      <c r="M203" s="48" t="s">
        <v>56</v>
      </c>
      <c r="S203" s="49"/>
      <c r="T203" s="54"/>
      <c r="U203" s="48"/>
      <c r="V203" s="48" t="s">
        <v>185</v>
      </c>
      <c r="W203" s="48" t="s">
        <v>972</v>
      </c>
      <c r="X203" s="48" t="s">
        <v>973</v>
      </c>
      <c r="Y203" s="49">
        <v>98</v>
      </c>
      <c r="Z203" s="53">
        <v>0</v>
      </c>
      <c r="AA203" s="49">
        <v>79</v>
      </c>
      <c r="AB203" s="53">
        <v>25.32</v>
      </c>
    </row>
    <row r="204" spans="1:28" s="421" customFormat="1" x14ac:dyDescent="0.25">
      <c r="A204" s="460"/>
      <c r="B204" s="48" t="s">
        <v>153</v>
      </c>
      <c r="C204" s="49">
        <v>2</v>
      </c>
      <c r="D204" s="50">
        <v>167163018</v>
      </c>
      <c r="E204" s="49" t="s">
        <v>35</v>
      </c>
      <c r="F204" s="49" t="s">
        <v>24</v>
      </c>
      <c r="G204" s="54" t="s">
        <v>25</v>
      </c>
      <c r="H204" s="48" t="s">
        <v>565</v>
      </c>
      <c r="I204" s="51" t="s">
        <v>974</v>
      </c>
      <c r="J204" s="52"/>
      <c r="K204" s="48" t="s">
        <v>485</v>
      </c>
      <c r="L204" s="48"/>
      <c r="M204" s="48"/>
      <c r="S204" s="49"/>
      <c r="T204" s="54"/>
      <c r="U204" s="48"/>
      <c r="V204" s="48" t="s">
        <v>70</v>
      </c>
      <c r="W204" s="48" t="s">
        <v>975</v>
      </c>
      <c r="X204" s="48" t="s">
        <v>976</v>
      </c>
      <c r="Y204" s="49">
        <v>102</v>
      </c>
      <c r="Z204" s="53">
        <v>0</v>
      </c>
      <c r="AA204" s="49">
        <v>92</v>
      </c>
      <c r="AB204" s="53">
        <v>34.78</v>
      </c>
    </row>
    <row r="205" spans="1:28" s="421" customFormat="1" x14ac:dyDescent="0.25">
      <c r="A205" s="460"/>
      <c r="B205" s="48" t="s">
        <v>153</v>
      </c>
      <c r="C205" s="49">
        <v>2</v>
      </c>
      <c r="D205" s="50">
        <v>172409868</v>
      </c>
      <c r="E205" s="49" t="s">
        <v>24</v>
      </c>
      <c r="F205" s="49" t="s">
        <v>35</v>
      </c>
      <c r="G205" s="54" t="s">
        <v>25</v>
      </c>
      <c r="H205" s="48" t="s">
        <v>26</v>
      </c>
      <c r="I205" s="51" t="s">
        <v>977</v>
      </c>
      <c r="J205" s="52" t="s">
        <v>978</v>
      </c>
      <c r="K205" s="54" t="s">
        <v>29</v>
      </c>
      <c r="L205" s="48" t="s">
        <v>39</v>
      </c>
      <c r="M205" s="48" t="s">
        <v>51</v>
      </c>
      <c r="S205" s="49"/>
      <c r="T205" s="54"/>
      <c r="U205" s="48"/>
      <c r="V205" s="48" t="s">
        <v>979</v>
      </c>
      <c r="W205" s="48" t="s">
        <v>980</v>
      </c>
      <c r="X205" s="48" t="s">
        <v>981</v>
      </c>
      <c r="Y205" s="49">
        <v>152</v>
      </c>
      <c r="Z205" s="53">
        <v>0</v>
      </c>
      <c r="AA205" s="49">
        <v>88</v>
      </c>
      <c r="AB205" s="53">
        <v>35.229999999999997</v>
      </c>
    </row>
    <row r="206" spans="1:28" s="421" customFormat="1" x14ac:dyDescent="0.25">
      <c r="A206" s="460"/>
      <c r="B206" s="48" t="s">
        <v>153</v>
      </c>
      <c r="C206" s="49">
        <v>3</v>
      </c>
      <c r="D206" s="50">
        <v>39139809</v>
      </c>
      <c r="E206" s="49" t="s">
        <v>24</v>
      </c>
      <c r="F206" s="49" t="s">
        <v>35</v>
      </c>
      <c r="G206" s="54" t="s">
        <v>25</v>
      </c>
      <c r="H206" s="48" t="s">
        <v>168</v>
      </c>
      <c r="I206" s="51" t="s">
        <v>982</v>
      </c>
      <c r="J206" s="52" t="s">
        <v>983</v>
      </c>
      <c r="K206" s="54" t="s">
        <v>29</v>
      </c>
      <c r="L206" s="48" t="s">
        <v>39</v>
      </c>
      <c r="M206" s="48" t="s">
        <v>51</v>
      </c>
      <c r="S206" s="49"/>
      <c r="T206" s="54"/>
      <c r="U206" s="48"/>
      <c r="V206" s="48" t="s">
        <v>582</v>
      </c>
      <c r="W206" s="48" t="s">
        <v>984</v>
      </c>
      <c r="X206" s="48" t="s">
        <v>985</v>
      </c>
      <c r="Y206" s="49">
        <v>97</v>
      </c>
      <c r="Z206" s="53">
        <v>0</v>
      </c>
      <c r="AA206" s="49">
        <v>79</v>
      </c>
      <c r="AB206" s="53">
        <v>46.84</v>
      </c>
    </row>
    <row r="207" spans="1:28" s="421" customFormat="1" x14ac:dyDescent="0.25">
      <c r="A207" s="460"/>
      <c r="B207" s="48" t="s">
        <v>153</v>
      </c>
      <c r="C207" s="49">
        <v>3</v>
      </c>
      <c r="D207" s="50">
        <v>40211493</v>
      </c>
      <c r="E207" s="49" t="s">
        <v>43</v>
      </c>
      <c r="F207" s="49" t="s">
        <v>35</v>
      </c>
      <c r="G207" s="54" t="s">
        <v>25</v>
      </c>
      <c r="H207" s="48" t="s">
        <v>168</v>
      </c>
      <c r="I207" s="51" t="s">
        <v>986</v>
      </c>
      <c r="J207" s="52" t="s">
        <v>987</v>
      </c>
      <c r="K207" s="54" t="s">
        <v>29</v>
      </c>
      <c r="L207" s="48" t="s">
        <v>92</v>
      </c>
      <c r="M207" s="48" t="s">
        <v>51</v>
      </c>
      <c r="S207" s="49"/>
      <c r="T207" s="54"/>
      <c r="U207" s="48"/>
      <c r="V207" s="48" t="s">
        <v>223</v>
      </c>
      <c r="W207" s="48" t="s">
        <v>988</v>
      </c>
      <c r="X207" s="48" t="s">
        <v>989</v>
      </c>
      <c r="Y207" s="49">
        <v>101</v>
      </c>
      <c r="Z207" s="53">
        <v>0</v>
      </c>
      <c r="AA207" s="49">
        <v>90</v>
      </c>
      <c r="AB207" s="53">
        <v>30</v>
      </c>
    </row>
    <row r="208" spans="1:28" s="421" customFormat="1" x14ac:dyDescent="0.25">
      <c r="A208" s="460"/>
      <c r="B208" s="48" t="s">
        <v>153</v>
      </c>
      <c r="C208" s="49">
        <v>3</v>
      </c>
      <c r="D208" s="50">
        <v>113119428</v>
      </c>
      <c r="E208" s="49" t="s">
        <v>43</v>
      </c>
      <c r="F208" s="49" t="s">
        <v>24</v>
      </c>
      <c r="G208" s="54" t="s">
        <v>25</v>
      </c>
      <c r="H208" s="48" t="s">
        <v>26</v>
      </c>
      <c r="I208" s="51" t="s">
        <v>188</v>
      </c>
      <c r="J208" s="52" t="s">
        <v>990</v>
      </c>
      <c r="K208" s="54" t="s">
        <v>29</v>
      </c>
      <c r="L208" s="48" t="s">
        <v>39</v>
      </c>
      <c r="M208" s="48" t="s">
        <v>56</v>
      </c>
      <c r="S208" s="49"/>
      <c r="T208" s="54"/>
      <c r="U208" s="48"/>
      <c r="V208" s="48" t="s">
        <v>87</v>
      </c>
      <c r="W208" s="48" t="s">
        <v>190</v>
      </c>
      <c r="X208" s="48" t="s">
        <v>991</v>
      </c>
      <c r="Y208" s="49">
        <v>108</v>
      </c>
      <c r="Z208" s="53">
        <v>0</v>
      </c>
      <c r="AA208" s="49">
        <v>76</v>
      </c>
      <c r="AB208" s="53">
        <v>47.37</v>
      </c>
    </row>
    <row r="209" spans="1:28" s="421" customFormat="1" x14ac:dyDescent="0.25">
      <c r="A209" s="460"/>
      <c r="B209" s="48" t="s">
        <v>153</v>
      </c>
      <c r="C209" s="49">
        <v>3</v>
      </c>
      <c r="D209" s="50">
        <v>150128442</v>
      </c>
      <c r="E209" s="49" t="s">
        <v>35</v>
      </c>
      <c r="F209" s="49" t="s">
        <v>24</v>
      </c>
      <c r="G209" s="54" t="s">
        <v>25</v>
      </c>
      <c r="H209" s="48" t="s">
        <v>73</v>
      </c>
      <c r="I209" s="51" t="s">
        <v>992</v>
      </c>
      <c r="J209" s="52" t="s">
        <v>993</v>
      </c>
      <c r="K209" s="54" t="s">
        <v>29</v>
      </c>
      <c r="L209" s="48" t="s">
        <v>39</v>
      </c>
      <c r="M209" s="48" t="s">
        <v>51</v>
      </c>
      <c r="S209" s="49"/>
      <c r="T209" s="54"/>
      <c r="U209" s="48"/>
      <c r="V209" s="48" t="s">
        <v>82</v>
      </c>
      <c r="W209" s="48" t="s">
        <v>994</v>
      </c>
      <c r="X209" s="48" t="s">
        <v>995</v>
      </c>
      <c r="Y209" s="49">
        <v>147</v>
      </c>
      <c r="Z209" s="53">
        <v>0</v>
      </c>
      <c r="AA209" s="49">
        <v>108</v>
      </c>
      <c r="AB209" s="53">
        <v>31.48</v>
      </c>
    </row>
    <row r="210" spans="1:28" s="421" customFormat="1" x14ac:dyDescent="0.25">
      <c r="A210" s="460"/>
      <c r="B210" s="48" t="s">
        <v>153</v>
      </c>
      <c r="C210" s="49">
        <v>4</v>
      </c>
      <c r="D210" s="50">
        <v>69334625</v>
      </c>
      <c r="E210" s="49" t="s">
        <v>24</v>
      </c>
      <c r="F210" s="49" t="s">
        <v>35</v>
      </c>
      <c r="G210" s="54" t="s">
        <v>25</v>
      </c>
      <c r="H210" s="48" t="s">
        <v>26</v>
      </c>
      <c r="I210" s="51" t="s">
        <v>996</v>
      </c>
      <c r="J210" s="52" t="s">
        <v>997</v>
      </c>
      <c r="K210" s="54" t="s">
        <v>109</v>
      </c>
      <c r="L210" s="48"/>
      <c r="M210" s="48"/>
      <c r="S210" s="49"/>
      <c r="T210" s="54"/>
      <c r="U210" s="48"/>
      <c r="V210" s="48" t="s">
        <v>87</v>
      </c>
      <c r="W210" s="48" t="s">
        <v>998</v>
      </c>
      <c r="X210" s="48" t="s">
        <v>999</v>
      </c>
      <c r="Y210" s="49">
        <v>117</v>
      </c>
      <c r="Z210" s="53">
        <v>0</v>
      </c>
      <c r="AA210" s="49">
        <v>73</v>
      </c>
      <c r="AB210" s="53">
        <v>35.619999999999997</v>
      </c>
    </row>
    <row r="211" spans="1:28" s="421" customFormat="1" x14ac:dyDescent="0.25">
      <c r="A211" s="460"/>
      <c r="B211" s="48" t="s">
        <v>153</v>
      </c>
      <c r="C211" s="49">
        <v>5</v>
      </c>
      <c r="D211" s="50">
        <v>19591300</v>
      </c>
      <c r="E211" s="49" t="s">
        <v>24</v>
      </c>
      <c r="F211" s="49" t="s">
        <v>23</v>
      </c>
      <c r="G211" s="54" t="s">
        <v>25</v>
      </c>
      <c r="H211" s="48" t="s">
        <v>26</v>
      </c>
      <c r="I211" s="51" t="s">
        <v>1000</v>
      </c>
      <c r="J211" s="52" t="s">
        <v>1001</v>
      </c>
      <c r="K211" s="54" t="s">
        <v>29</v>
      </c>
      <c r="L211" s="48" t="s">
        <v>30</v>
      </c>
      <c r="M211" s="48" t="s">
        <v>31</v>
      </c>
      <c r="S211" s="49"/>
      <c r="T211" s="54"/>
      <c r="U211" s="48"/>
      <c r="V211" s="48" t="s">
        <v>1002</v>
      </c>
      <c r="W211" s="48" t="s">
        <v>1003</v>
      </c>
      <c r="X211" s="48" t="s">
        <v>1004</v>
      </c>
      <c r="Y211" s="49">
        <v>98</v>
      </c>
      <c r="Z211" s="53">
        <v>0</v>
      </c>
      <c r="AA211" s="49">
        <v>83</v>
      </c>
      <c r="AB211" s="53">
        <v>30.12</v>
      </c>
    </row>
    <row r="212" spans="1:28" s="421" customFormat="1" ht="30" x14ac:dyDescent="0.25">
      <c r="A212" s="460"/>
      <c r="B212" s="48" t="s">
        <v>153</v>
      </c>
      <c r="C212" s="49">
        <v>5</v>
      </c>
      <c r="D212" s="50">
        <v>82843888</v>
      </c>
      <c r="E212" s="49" t="s">
        <v>43</v>
      </c>
      <c r="F212" s="49" t="s">
        <v>35</v>
      </c>
      <c r="G212" s="54" t="s">
        <v>25</v>
      </c>
      <c r="H212" s="48" t="s">
        <v>26</v>
      </c>
      <c r="I212" s="51" t="s">
        <v>1005</v>
      </c>
      <c r="J212" s="52" t="s">
        <v>1006</v>
      </c>
      <c r="K212" s="54" t="s">
        <v>29</v>
      </c>
      <c r="L212" s="48" t="s">
        <v>39</v>
      </c>
      <c r="M212" s="48" t="s">
        <v>51</v>
      </c>
      <c r="N212" s="421">
        <v>1249580595</v>
      </c>
      <c r="S212" s="49"/>
      <c r="T212" s="54"/>
      <c r="U212" s="48"/>
      <c r="V212" s="48" t="s">
        <v>185</v>
      </c>
      <c r="W212" s="48" t="s">
        <v>1007</v>
      </c>
      <c r="X212" s="48" t="s">
        <v>1008</v>
      </c>
      <c r="Y212" s="49">
        <v>129</v>
      </c>
      <c r="Z212" s="53">
        <v>0</v>
      </c>
      <c r="AA212" s="49">
        <v>96</v>
      </c>
      <c r="AB212" s="53">
        <v>38.54</v>
      </c>
    </row>
    <row r="213" spans="1:28" s="421" customFormat="1" x14ac:dyDescent="0.25">
      <c r="A213" s="460"/>
      <c r="B213" s="48" t="s">
        <v>153</v>
      </c>
      <c r="C213" s="49">
        <v>5</v>
      </c>
      <c r="D213" s="50">
        <v>89940588</v>
      </c>
      <c r="E213" s="49" t="s">
        <v>23</v>
      </c>
      <c r="F213" s="49" t="s">
        <v>35</v>
      </c>
      <c r="G213" s="54" t="s">
        <v>25</v>
      </c>
      <c r="H213" s="48" t="s">
        <v>73</v>
      </c>
      <c r="I213" s="51" t="s">
        <v>1009</v>
      </c>
      <c r="J213" s="52" t="s">
        <v>1010</v>
      </c>
      <c r="K213" s="54" t="s">
        <v>29</v>
      </c>
      <c r="L213" s="48" t="s">
        <v>30</v>
      </c>
      <c r="M213" s="48" t="s">
        <v>56</v>
      </c>
      <c r="S213" s="49"/>
      <c r="T213" s="54"/>
      <c r="U213" s="48"/>
      <c r="V213" s="48" t="s">
        <v>185</v>
      </c>
      <c r="W213" s="48" t="s">
        <v>1011</v>
      </c>
      <c r="X213" s="48" t="s">
        <v>1012</v>
      </c>
      <c r="Y213" s="49">
        <v>133</v>
      </c>
      <c r="Z213" s="53">
        <v>0</v>
      </c>
      <c r="AA213" s="49">
        <v>94</v>
      </c>
      <c r="AB213" s="53">
        <v>39.36</v>
      </c>
    </row>
    <row r="214" spans="1:28" s="421" customFormat="1" x14ac:dyDescent="0.25">
      <c r="A214" s="460"/>
      <c r="B214" s="48" t="s">
        <v>153</v>
      </c>
      <c r="C214" s="49">
        <v>6</v>
      </c>
      <c r="D214" s="50">
        <v>7891915</v>
      </c>
      <c r="E214" s="49" t="s">
        <v>43</v>
      </c>
      <c r="F214" s="49" t="s">
        <v>23</v>
      </c>
      <c r="G214" s="54" t="s">
        <v>25</v>
      </c>
      <c r="H214" s="48" t="s">
        <v>73</v>
      </c>
      <c r="I214" s="51" t="s">
        <v>1013</v>
      </c>
      <c r="J214" s="52" t="s">
        <v>1014</v>
      </c>
      <c r="K214" s="54" t="s">
        <v>29</v>
      </c>
      <c r="L214" s="48" t="s">
        <v>30</v>
      </c>
      <c r="M214" s="48" t="s">
        <v>56</v>
      </c>
      <c r="S214" s="49"/>
      <c r="T214" s="54"/>
      <c r="U214" s="48"/>
      <c r="V214" s="48" t="s">
        <v>1015</v>
      </c>
      <c r="W214" s="48" t="s">
        <v>1016</v>
      </c>
      <c r="X214" s="48" t="s">
        <v>1017</v>
      </c>
      <c r="Y214" s="49">
        <v>88</v>
      </c>
      <c r="Z214" s="53">
        <v>0</v>
      </c>
      <c r="AA214" s="49">
        <v>67</v>
      </c>
      <c r="AB214" s="53">
        <v>38.81</v>
      </c>
    </row>
    <row r="215" spans="1:28" s="421" customFormat="1" x14ac:dyDescent="0.25">
      <c r="A215" s="460"/>
      <c r="B215" s="48" t="s">
        <v>153</v>
      </c>
      <c r="C215" s="49">
        <v>6</v>
      </c>
      <c r="D215" s="50">
        <v>49583426</v>
      </c>
      <c r="E215" s="49" t="s">
        <v>43</v>
      </c>
      <c r="F215" s="49" t="s">
        <v>24</v>
      </c>
      <c r="G215" s="54" t="s">
        <v>25</v>
      </c>
      <c r="H215" s="48" t="s">
        <v>26</v>
      </c>
      <c r="I215" s="51" t="s">
        <v>1018</v>
      </c>
      <c r="J215" s="52" t="s">
        <v>1019</v>
      </c>
      <c r="K215" s="54" t="s">
        <v>29</v>
      </c>
      <c r="L215" s="48" t="s">
        <v>30</v>
      </c>
      <c r="M215" s="48" t="s">
        <v>56</v>
      </c>
      <c r="S215" s="49"/>
      <c r="T215" s="54"/>
      <c r="U215" s="48"/>
      <c r="V215" s="48" t="s">
        <v>623</v>
      </c>
      <c r="W215" s="48" t="s">
        <v>1020</v>
      </c>
      <c r="X215" s="48" t="s">
        <v>1021</v>
      </c>
      <c r="Y215" s="49">
        <v>69</v>
      </c>
      <c r="Z215" s="53">
        <v>0</v>
      </c>
      <c r="AA215" s="49">
        <v>84</v>
      </c>
      <c r="AB215" s="53">
        <v>30.95</v>
      </c>
    </row>
    <row r="216" spans="1:28" s="421" customFormat="1" x14ac:dyDescent="0.25">
      <c r="A216" s="460"/>
      <c r="B216" s="48" t="s">
        <v>153</v>
      </c>
      <c r="C216" s="49">
        <v>6</v>
      </c>
      <c r="D216" s="50">
        <v>160482851</v>
      </c>
      <c r="E216" s="49" t="s">
        <v>43</v>
      </c>
      <c r="F216" s="49" t="s">
        <v>24</v>
      </c>
      <c r="G216" s="54" t="s">
        <v>25</v>
      </c>
      <c r="H216" s="48" t="s">
        <v>26</v>
      </c>
      <c r="I216" s="51" t="s">
        <v>1022</v>
      </c>
      <c r="J216" s="52" t="s">
        <v>1023</v>
      </c>
      <c r="K216" s="54" t="s">
        <v>29</v>
      </c>
      <c r="L216" s="48"/>
      <c r="M216" s="48" t="s">
        <v>56</v>
      </c>
      <c r="S216" s="49"/>
      <c r="T216" s="54"/>
      <c r="U216" s="48"/>
      <c r="V216" s="48" t="s">
        <v>333</v>
      </c>
      <c r="W216" s="48" t="s">
        <v>1024</v>
      </c>
      <c r="X216" s="48" t="s">
        <v>1025</v>
      </c>
      <c r="Y216" s="49">
        <v>127</v>
      </c>
      <c r="Z216" s="53">
        <v>0</v>
      </c>
      <c r="AA216" s="49">
        <v>71</v>
      </c>
      <c r="AB216" s="53">
        <v>40.85</v>
      </c>
    </row>
    <row r="217" spans="1:28" s="421" customFormat="1" x14ac:dyDescent="0.25">
      <c r="A217" s="460"/>
      <c r="B217" s="48" t="s">
        <v>153</v>
      </c>
      <c r="C217" s="49">
        <v>7</v>
      </c>
      <c r="D217" s="50">
        <v>21600729</v>
      </c>
      <c r="E217" s="49" t="s">
        <v>23</v>
      </c>
      <c r="F217" s="49" t="s">
        <v>35</v>
      </c>
      <c r="G217" s="54" t="s">
        <v>25</v>
      </c>
      <c r="H217" s="48" t="s">
        <v>26</v>
      </c>
      <c r="I217" s="51" t="s">
        <v>1026</v>
      </c>
      <c r="J217" s="52" t="s">
        <v>1027</v>
      </c>
      <c r="K217" s="54" t="s">
        <v>29</v>
      </c>
      <c r="L217" s="48"/>
      <c r="M217" s="48"/>
      <c r="N217" s="421">
        <v>773991716</v>
      </c>
      <c r="R217" s="421" t="s">
        <v>4186</v>
      </c>
      <c r="S217" s="49"/>
      <c r="T217" s="54" t="s">
        <v>1028</v>
      </c>
      <c r="U217" s="48"/>
      <c r="V217" s="48" t="s">
        <v>438</v>
      </c>
      <c r="W217" s="48" t="s">
        <v>1029</v>
      </c>
      <c r="X217" s="48" t="s">
        <v>1030</v>
      </c>
      <c r="Y217" s="49">
        <v>117</v>
      </c>
      <c r="Z217" s="53">
        <v>0</v>
      </c>
      <c r="AA217" s="49">
        <v>85</v>
      </c>
      <c r="AB217" s="53">
        <v>41.18</v>
      </c>
    </row>
    <row r="218" spans="1:28" s="421" customFormat="1" x14ac:dyDescent="0.25">
      <c r="A218" s="460"/>
      <c r="B218" s="48" t="s">
        <v>153</v>
      </c>
      <c r="C218" s="49">
        <v>7</v>
      </c>
      <c r="D218" s="50">
        <v>72884740</v>
      </c>
      <c r="E218" s="49" t="s">
        <v>24</v>
      </c>
      <c r="F218" s="49" t="s">
        <v>35</v>
      </c>
      <c r="G218" s="54" t="s">
        <v>25</v>
      </c>
      <c r="H218" s="48" t="s">
        <v>26</v>
      </c>
      <c r="I218" s="51" t="s">
        <v>1031</v>
      </c>
      <c r="J218" s="52" t="s">
        <v>1032</v>
      </c>
      <c r="K218" s="54" t="s">
        <v>29</v>
      </c>
      <c r="L218" s="48" t="s">
        <v>39</v>
      </c>
      <c r="M218" s="48" t="s">
        <v>51</v>
      </c>
      <c r="S218" s="49"/>
      <c r="T218" s="54"/>
      <c r="U218" s="48"/>
      <c r="V218" s="48" t="s">
        <v>141</v>
      </c>
      <c r="W218" s="48" t="s">
        <v>1033</v>
      </c>
      <c r="X218" s="48" t="s">
        <v>1034</v>
      </c>
      <c r="Y218" s="49">
        <v>129</v>
      </c>
      <c r="Z218" s="53">
        <v>0</v>
      </c>
      <c r="AA218" s="49">
        <v>52</v>
      </c>
      <c r="AB218" s="53">
        <v>26.92</v>
      </c>
    </row>
    <row r="219" spans="1:28" s="421" customFormat="1" x14ac:dyDescent="0.25">
      <c r="A219" s="460"/>
      <c r="B219" s="48" t="s">
        <v>153</v>
      </c>
      <c r="C219" s="49">
        <v>7</v>
      </c>
      <c r="D219" s="50">
        <v>137128821</v>
      </c>
      <c r="E219" s="49" t="s">
        <v>35</v>
      </c>
      <c r="F219" s="49" t="s">
        <v>24</v>
      </c>
      <c r="G219" s="54" t="s">
        <v>25</v>
      </c>
      <c r="H219" s="48" t="s">
        <v>565</v>
      </c>
      <c r="I219" s="51" t="s">
        <v>1035</v>
      </c>
      <c r="J219" s="52"/>
      <c r="K219" s="48" t="s">
        <v>485</v>
      </c>
      <c r="L219" s="48"/>
      <c r="M219" s="48"/>
      <c r="S219" s="49"/>
      <c r="T219" s="54"/>
      <c r="U219" s="48"/>
      <c r="V219" s="48" t="s">
        <v>243</v>
      </c>
      <c r="W219" s="48" t="s">
        <v>1036</v>
      </c>
      <c r="X219" s="48" t="s">
        <v>1037</v>
      </c>
      <c r="Y219" s="49">
        <v>145</v>
      </c>
      <c r="Z219" s="53">
        <v>0</v>
      </c>
      <c r="AA219" s="49">
        <v>89</v>
      </c>
      <c r="AB219" s="53">
        <v>40.450000000000003</v>
      </c>
    </row>
    <row r="220" spans="1:28" s="421" customFormat="1" x14ac:dyDescent="0.25">
      <c r="A220" s="460"/>
      <c r="B220" s="48" t="s">
        <v>153</v>
      </c>
      <c r="C220" s="49">
        <v>8</v>
      </c>
      <c r="D220" s="50">
        <v>35541227</v>
      </c>
      <c r="E220" s="49" t="s">
        <v>43</v>
      </c>
      <c r="F220" s="49" t="s">
        <v>23</v>
      </c>
      <c r="G220" s="54" t="s">
        <v>25</v>
      </c>
      <c r="H220" s="48" t="s">
        <v>26</v>
      </c>
      <c r="I220" s="51" t="s">
        <v>422</v>
      </c>
      <c r="J220" s="52" t="s">
        <v>1038</v>
      </c>
      <c r="K220" s="54" t="s">
        <v>29</v>
      </c>
      <c r="L220" s="48" t="s">
        <v>30</v>
      </c>
      <c r="M220" s="48" t="s">
        <v>56</v>
      </c>
      <c r="S220" s="49"/>
      <c r="T220" s="54"/>
      <c r="U220" s="48"/>
      <c r="V220" s="48" t="s">
        <v>125</v>
      </c>
      <c r="W220" s="48" t="s">
        <v>424</v>
      </c>
      <c r="X220" s="48" t="s">
        <v>1039</v>
      </c>
      <c r="Y220" s="49">
        <v>99</v>
      </c>
      <c r="Z220" s="53">
        <v>0</v>
      </c>
      <c r="AA220" s="49">
        <v>79</v>
      </c>
      <c r="AB220" s="53">
        <v>35.44</v>
      </c>
    </row>
    <row r="221" spans="1:28" s="421" customFormat="1" x14ac:dyDescent="0.25">
      <c r="A221" s="460"/>
      <c r="B221" s="48" t="s">
        <v>153</v>
      </c>
      <c r="C221" s="49">
        <v>11</v>
      </c>
      <c r="D221" s="50">
        <v>19256038</v>
      </c>
      <c r="E221" s="49" t="s">
        <v>35</v>
      </c>
      <c r="F221" s="49" t="s">
        <v>43</v>
      </c>
      <c r="G221" s="54" t="s">
        <v>25</v>
      </c>
      <c r="H221" s="48" t="s">
        <v>26</v>
      </c>
      <c r="I221" s="51" t="s">
        <v>1040</v>
      </c>
      <c r="J221" s="52" t="s">
        <v>1041</v>
      </c>
      <c r="K221" s="54" t="s">
        <v>29</v>
      </c>
      <c r="L221" s="48" t="s">
        <v>30</v>
      </c>
      <c r="M221" s="48" t="s">
        <v>56</v>
      </c>
      <c r="S221" s="49"/>
      <c r="T221" s="54"/>
      <c r="U221" s="48"/>
      <c r="V221" s="48" t="s">
        <v>1042</v>
      </c>
      <c r="W221" s="48" t="s">
        <v>1043</v>
      </c>
      <c r="X221" s="48" t="s">
        <v>1044</v>
      </c>
      <c r="Y221" s="49">
        <v>121</v>
      </c>
      <c r="Z221" s="53">
        <v>0</v>
      </c>
      <c r="AA221" s="49">
        <v>91</v>
      </c>
      <c r="AB221" s="53">
        <v>46.15</v>
      </c>
    </row>
    <row r="222" spans="1:28" s="421" customFormat="1" x14ac:dyDescent="0.25">
      <c r="A222" s="460"/>
      <c r="B222" s="48" t="s">
        <v>153</v>
      </c>
      <c r="C222" s="49">
        <v>11</v>
      </c>
      <c r="D222" s="50">
        <v>62417182</v>
      </c>
      <c r="E222" s="49" t="s">
        <v>23</v>
      </c>
      <c r="F222" s="49" t="s">
        <v>24</v>
      </c>
      <c r="G222" s="54" t="s">
        <v>25</v>
      </c>
      <c r="H222" s="48" t="s">
        <v>26</v>
      </c>
      <c r="I222" s="51" t="s">
        <v>1045</v>
      </c>
      <c r="J222" s="52" t="s">
        <v>1046</v>
      </c>
      <c r="K222" s="54" t="s">
        <v>29</v>
      </c>
      <c r="L222" s="48" t="s">
        <v>30</v>
      </c>
      <c r="M222" s="48" t="s">
        <v>56</v>
      </c>
      <c r="S222" s="49"/>
      <c r="T222" s="54"/>
      <c r="U222" s="48"/>
      <c r="V222" s="48" t="s">
        <v>52</v>
      </c>
      <c r="W222" s="48" t="s">
        <v>1047</v>
      </c>
      <c r="X222" s="48" t="s">
        <v>1048</v>
      </c>
      <c r="Y222" s="49">
        <v>116</v>
      </c>
      <c r="Z222" s="53">
        <v>0</v>
      </c>
      <c r="AA222" s="49">
        <v>73</v>
      </c>
      <c r="AB222" s="53">
        <v>38.36</v>
      </c>
    </row>
    <row r="223" spans="1:28" s="421" customFormat="1" ht="30" x14ac:dyDescent="0.25">
      <c r="A223" s="460"/>
      <c r="B223" s="48" t="s">
        <v>153</v>
      </c>
      <c r="C223" s="49">
        <v>15</v>
      </c>
      <c r="D223" s="50">
        <v>43701131</v>
      </c>
      <c r="E223" s="49" t="s">
        <v>43</v>
      </c>
      <c r="F223" s="49" t="s">
        <v>35</v>
      </c>
      <c r="G223" s="54" t="s">
        <v>25</v>
      </c>
      <c r="H223" s="48" t="s">
        <v>26</v>
      </c>
      <c r="I223" s="51" t="s">
        <v>1049</v>
      </c>
      <c r="J223" s="52" t="s">
        <v>1050</v>
      </c>
      <c r="K223" s="54" t="s">
        <v>29</v>
      </c>
      <c r="L223" s="48" t="s">
        <v>30</v>
      </c>
      <c r="M223" s="48" t="s">
        <v>56</v>
      </c>
      <c r="S223" s="49"/>
      <c r="T223" s="54"/>
      <c r="U223" s="48"/>
      <c r="V223" s="48" t="s">
        <v>1051</v>
      </c>
      <c r="W223" s="48" t="s">
        <v>1052</v>
      </c>
      <c r="X223" s="48" t="s">
        <v>1053</v>
      </c>
      <c r="Y223" s="49">
        <v>124</v>
      </c>
      <c r="Z223" s="53">
        <v>0</v>
      </c>
      <c r="AA223" s="49">
        <v>56</v>
      </c>
      <c r="AB223" s="53">
        <v>44.64</v>
      </c>
    </row>
    <row r="224" spans="1:28" s="421" customFormat="1" x14ac:dyDescent="0.25">
      <c r="A224" s="460"/>
      <c r="B224" s="48" t="s">
        <v>153</v>
      </c>
      <c r="C224" s="49">
        <v>16</v>
      </c>
      <c r="D224" s="50">
        <v>1822640</v>
      </c>
      <c r="E224" s="49" t="s">
        <v>24</v>
      </c>
      <c r="F224" s="49" t="s">
        <v>35</v>
      </c>
      <c r="G224" s="54" t="s">
        <v>25</v>
      </c>
      <c r="H224" s="48" t="s">
        <v>776</v>
      </c>
      <c r="I224" s="51" t="s">
        <v>1054</v>
      </c>
      <c r="J224" s="52" t="s">
        <v>1055</v>
      </c>
      <c r="K224" s="54" t="s">
        <v>29</v>
      </c>
      <c r="L224" s="48" t="s">
        <v>30</v>
      </c>
      <c r="M224" s="48" t="s">
        <v>56</v>
      </c>
      <c r="S224" s="49"/>
      <c r="T224" s="54"/>
      <c r="U224" s="48"/>
      <c r="V224" s="48" t="s">
        <v>120</v>
      </c>
      <c r="W224" s="48" t="s">
        <v>1056</v>
      </c>
      <c r="X224" s="48" t="s">
        <v>1057</v>
      </c>
      <c r="Y224" s="49">
        <v>147</v>
      </c>
      <c r="Z224" s="53">
        <v>0</v>
      </c>
      <c r="AA224" s="49">
        <v>83</v>
      </c>
      <c r="AB224" s="53">
        <v>43.37</v>
      </c>
    </row>
    <row r="225" spans="1:28" s="421" customFormat="1" x14ac:dyDescent="0.25">
      <c r="A225" s="460"/>
      <c r="B225" s="48" t="s">
        <v>153</v>
      </c>
      <c r="C225" s="49">
        <v>17</v>
      </c>
      <c r="D225" s="50">
        <v>7339597</v>
      </c>
      <c r="E225" s="49" t="s">
        <v>35</v>
      </c>
      <c r="F225" s="49" t="s">
        <v>43</v>
      </c>
      <c r="G225" s="54" t="s">
        <v>25</v>
      </c>
      <c r="H225" s="48" t="s">
        <v>776</v>
      </c>
      <c r="I225" s="51" t="s">
        <v>1058</v>
      </c>
      <c r="J225" s="52" t="s">
        <v>1059</v>
      </c>
      <c r="K225" s="54" t="s">
        <v>29</v>
      </c>
      <c r="L225" s="48"/>
      <c r="M225" s="48" t="s">
        <v>56</v>
      </c>
      <c r="S225" s="49"/>
      <c r="T225" s="54"/>
      <c r="U225" s="48"/>
      <c r="V225" s="48" t="s">
        <v>104</v>
      </c>
      <c r="W225" s="48" t="s">
        <v>1060</v>
      </c>
      <c r="X225" s="48" t="s">
        <v>1061</v>
      </c>
      <c r="Y225" s="49">
        <v>127</v>
      </c>
      <c r="Z225" s="53">
        <v>0</v>
      </c>
      <c r="AA225" s="49">
        <v>69</v>
      </c>
      <c r="AB225" s="53">
        <v>36.229999999999997</v>
      </c>
    </row>
    <row r="226" spans="1:28" s="421" customFormat="1" x14ac:dyDescent="0.25">
      <c r="A226" s="460"/>
      <c r="B226" s="48" t="s">
        <v>153</v>
      </c>
      <c r="C226" s="49">
        <v>17</v>
      </c>
      <c r="D226" s="50">
        <v>7399862</v>
      </c>
      <c r="E226" s="49" t="s">
        <v>43</v>
      </c>
      <c r="F226" s="49" t="s">
        <v>24</v>
      </c>
      <c r="G226" s="54" t="s">
        <v>25</v>
      </c>
      <c r="H226" s="48" t="s">
        <v>26</v>
      </c>
      <c r="I226" s="51" t="s">
        <v>323</v>
      </c>
      <c r="J226" s="52" t="s">
        <v>1062</v>
      </c>
      <c r="K226" s="54" t="s">
        <v>29</v>
      </c>
      <c r="L226" s="48"/>
      <c r="M226" s="48" t="s">
        <v>51</v>
      </c>
      <c r="S226" s="49"/>
      <c r="T226" s="54"/>
      <c r="U226" s="48"/>
      <c r="V226" s="48" t="s">
        <v>104</v>
      </c>
      <c r="W226" s="48" t="s">
        <v>325</v>
      </c>
      <c r="X226" s="48" t="s">
        <v>1063</v>
      </c>
      <c r="Y226" s="49">
        <v>106</v>
      </c>
      <c r="Z226" s="53">
        <v>0</v>
      </c>
      <c r="AA226" s="49">
        <v>65</v>
      </c>
      <c r="AB226" s="53">
        <v>50.77</v>
      </c>
    </row>
    <row r="227" spans="1:28" s="421" customFormat="1" ht="30" x14ac:dyDescent="0.25">
      <c r="A227" s="460"/>
      <c r="B227" s="48" t="s">
        <v>153</v>
      </c>
      <c r="C227" s="49">
        <v>17</v>
      </c>
      <c r="D227" s="50">
        <v>27030775</v>
      </c>
      <c r="E227" s="49" t="s">
        <v>23</v>
      </c>
      <c r="F227" s="49" t="s">
        <v>35</v>
      </c>
      <c r="G227" s="54" t="s">
        <v>25</v>
      </c>
      <c r="H227" s="48" t="s">
        <v>26</v>
      </c>
      <c r="I227" s="51" t="s">
        <v>1064</v>
      </c>
      <c r="J227" s="52" t="s">
        <v>1065</v>
      </c>
      <c r="K227" s="54" t="s">
        <v>29</v>
      </c>
      <c r="L227" s="48" t="s">
        <v>30</v>
      </c>
      <c r="M227" s="48" t="s">
        <v>31</v>
      </c>
      <c r="N227" s="421">
        <v>773145372</v>
      </c>
      <c r="Q227" s="421" t="s">
        <v>4181</v>
      </c>
      <c r="R227" s="421" t="s">
        <v>4181</v>
      </c>
      <c r="S227" s="49"/>
      <c r="T227" s="54"/>
      <c r="U227" s="48"/>
      <c r="V227" s="48" t="s">
        <v>180</v>
      </c>
      <c r="W227" s="48" t="s">
        <v>1066</v>
      </c>
      <c r="X227" s="48" t="s">
        <v>1067</v>
      </c>
      <c r="Y227" s="49">
        <v>113</v>
      </c>
      <c r="Z227" s="53">
        <v>0</v>
      </c>
      <c r="AA227" s="49">
        <v>96</v>
      </c>
      <c r="AB227" s="53">
        <v>58.33</v>
      </c>
    </row>
    <row r="228" spans="1:28" s="421" customFormat="1" x14ac:dyDescent="0.25">
      <c r="A228" s="460"/>
      <c r="B228" s="48" t="s">
        <v>153</v>
      </c>
      <c r="C228" s="49">
        <v>17</v>
      </c>
      <c r="D228" s="50">
        <v>33288304</v>
      </c>
      <c r="E228" s="49" t="s">
        <v>24</v>
      </c>
      <c r="F228" s="49" t="s">
        <v>43</v>
      </c>
      <c r="G228" s="54" t="s">
        <v>25</v>
      </c>
      <c r="H228" s="48" t="s">
        <v>776</v>
      </c>
      <c r="I228" s="51" t="s">
        <v>1068</v>
      </c>
      <c r="J228" s="52" t="s">
        <v>1069</v>
      </c>
      <c r="K228" s="54" t="s">
        <v>29</v>
      </c>
      <c r="L228" s="48" t="s">
        <v>30</v>
      </c>
      <c r="M228" s="48" t="s">
        <v>56</v>
      </c>
      <c r="S228" s="49"/>
      <c r="T228" s="54"/>
      <c r="U228" s="48"/>
      <c r="V228" s="48" t="s">
        <v>468</v>
      </c>
      <c r="W228" s="48" t="s">
        <v>1070</v>
      </c>
      <c r="X228" s="48" t="s">
        <v>1071</v>
      </c>
      <c r="Y228" s="49">
        <v>154</v>
      </c>
      <c r="Z228" s="53">
        <v>0</v>
      </c>
      <c r="AA228" s="49">
        <v>110</v>
      </c>
      <c r="AB228" s="53">
        <v>17.27</v>
      </c>
    </row>
    <row r="229" spans="1:28" s="421" customFormat="1" x14ac:dyDescent="0.25">
      <c r="A229" s="460"/>
      <c r="B229" s="48" t="s">
        <v>153</v>
      </c>
      <c r="C229" s="49">
        <v>17</v>
      </c>
      <c r="D229" s="50">
        <v>41244415</v>
      </c>
      <c r="E229" s="49" t="s">
        <v>24</v>
      </c>
      <c r="F229" s="49" t="s">
        <v>23</v>
      </c>
      <c r="G229" s="54" t="s">
        <v>25</v>
      </c>
      <c r="H229" s="48" t="s">
        <v>663</v>
      </c>
      <c r="I229" s="51" t="s">
        <v>1072</v>
      </c>
      <c r="J229" s="52" t="s">
        <v>1073</v>
      </c>
      <c r="K229" s="54" t="s">
        <v>29</v>
      </c>
      <c r="L229" s="48" t="s">
        <v>39</v>
      </c>
      <c r="M229" s="48" t="s">
        <v>31</v>
      </c>
      <c r="S229" s="49"/>
      <c r="T229" s="54"/>
      <c r="U229" s="48"/>
      <c r="V229" s="48" t="s">
        <v>110</v>
      </c>
      <c r="W229" s="48" t="s">
        <v>1074</v>
      </c>
      <c r="X229" s="48" t="s">
        <v>1075</v>
      </c>
      <c r="Y229" s="49">
        <v>153</v>
      </c>
      <c r="Z229" s="53">
        <v>0</v>
      </c>
      <c r="AA229" s="49">
        <v>119</v>
      </c>
      <c r="AB229" s="53">
        <v>18.489999999999998</v>
      </c>
    </row>
    <row r="230" spans="1:28" s="421" customFormat="1" x14ac:dyDescent="0.25">
      <c r="A230" s="460"/>
      <c r="B230" s="48" t="s">
        <v>153</v>
      </c>
      <c r="C230" s="49">
        <v>17</v>
      </c>
      <c r="D230" s="50">
        <v>41343568</v>
      </c>
      <c r="E230" s="49" t="s">
        <v>1076</v>
      </c>
      <c r="F230" s="49"/>
      <c r="G230" s="54" t="s">
        <v>61</v>
      </c>
      <c r="H230" s="48" t="s">
        <v>26</v>
      </c>
      <c r="I230" s="51" t="s">
        <v>1077</v>
      </c>
      <c r="J230" s="52" t="s">
        <v>1078</v>
      </c>
      <c r="K230" s="54" t="s">
        <v>81</v>
      </c>
      <c r="L230" s="48"/>
      <c r="M230" s="48"/>
      <c r="S230" s="49"/>
      <c r="T230" s="54"/>
      <c r="U230" s="48"/>
      <c r="V230" s="48" t="s">
        <v>110</v>
      </c>
      <c r="W230" s="48" t="s">
        <v>1079</v>
      </c>
      <c r="X230" s="48" t="s">
        <v>1080</v>
      </c>
      <c r="Y230" s="49">
        <v>157</v>
      </c>
      <c r="Z230" s="53">
        <v>0</v>
      </c>
      <c r="AA230" s="49">
        <v>120</v>
      </c>
      <c r="AB230" s="53">
        <v>20</v>
      </c>
    </row>
    <row r="231" spans="1:28" s="421" customFormat="1" x14ac:dyDescent="0.25">
      <c r="A231" s="460"/>
      <c r="B231" s="48" t="s">
        <v>153</v>
      </c>
      <c r="C231" s="49">
        <v>17</v>
      </c>
      <c r="D231" s="50">
        <v>42988766</v>
      </c>
      <c r="E231" s="49" t="s">
        <v>43</v>
      </c>
      <c r="F231" s="49" t="s">
        <v>24</v>
      </c>
      <c r="G231" s="54" t="s">
        <v>25</v>
      </c>
      <c r="H231" s="48" t="s">
        <v>26</v>
      </c>
      <c r="I231" s="51" t="s">
        <v>1081</v>
      </c>
      <c r="J231" s="52" t="s">
        <v>1082</v>
      </c>
      <c r="K231" s="54" t="s">
        <v>29</v>
      </c>
      <c r="L231" s="48" t="s">
        <v>30</v>
      </c>
      <c r="M231" s="48" t="s">
        <v>31</v>
      </c>
      <c r="S231" s="49"/>
      <c r="T231" s="54"/>
      <c r="U231" s="48"/>
      <c r="V231" s="48" t="s">
        <v>110</v>
      </c>
      <c r="W231" s="48" t="s">
        <v>1083</v>
      </c>
      <c r="X231" s="48" t="s">
        <v>1084</v>
      </c>
      <c r="Y231" s="49">
        <v>131</v>
      </c>
      <c r="Z231" s="53">
        <v>0</v>
      </c>
      <c r="AA231" s="49">
        <v>111</v>
      </c>
      <c r="AB231" s="53">
        <v>12.61</v>
      </c>
    </row>
    <row r="232" spans="1:28" s="421" customFormat="1" x14ac:dyDescent="0.25">
      <c r="A232" s="460"/>
      <c r="B232" s="48" t="s">
        <v>153</v>
      </c>
      <c r="C232" s="49">
        <v>17</v>
      </c>
      <c r="D232" s="50">
        <v>61897169</v>
      </c>
      <c r="E232" s="49" t="s">
        <v>23</v>
      </c>
      <c r="F232" s="49" t="s">
        <v>24</v>
      </c>
      <c r="G232" s="54" t="s">
        <v>25</v>
      </c>
      <c r="H232" s="48" t="s">
        <v>26</v>
      </c>
      <c r="I232" s="51" t="s">
        <v>1085</v>
      </c>
      <c r="J232" s="52" t="s">
        <v>1086</v>
      </c>
      <c r="K232" s="54" t="s">
        <v>29</v>
      </c>
      <c r="L232" s="48" t="s">
        <v>39</v>
      </c>
      <c r="M232" s="48" t="s">
        <v>31</v>
      </c>
      <c r="N232" s="421">
        <v>779042374</v>
      </c>
      <c r="Q232" s="421" t="s">
        <v>4181</v>
      </c>
      <c r="S232" s="49"/>
      <c r="T232" s="54"/>
      <c r="U232" s="48"/>
      <c r="V232" s="48" t="s">
        <v>613</v>
      </c>
      <c r="W232" s="48" t="s">
        <v>1087</v>
      </c>
      <c r="X232" s="48" t="s">
        <v>1088</v>
      </c>
      <c r="Y232" s="49">
        <v>184</v>
      </c>
      <c r="Z232" s="53">
        <v>0</v>
      </c>
      <c r="AA232" s="49">
        <v>102</v>
      </c>
      <c r="AB232" s="53">
        <v>16.670000000000002</v>
      </c>
    </row>
    <row r="233" spans="1:28" s="421" customFormat="1" x14ac:dyDescent="0.25">
      <c r="A233" s="460"/>
      <c r="B233" s="48" t="s">
        <v>153</v>
      </c>
      <c r="C233" s="49">
        <v>17</v>
      </c>
      <c r="D233" s="50">
        <v>80151694</v>
      </c>
      <c r="E233" s="49" t="s">
        <v>24</v>
      </c>
      <c r="F233" s="49" t="s">
        <v>35</v>
      </c>
      <c r="G233" s="54" t="s">
        <v>25</v>
      </c>
      <c r="H233" s="48" t="s">
        <v>26</v>
      </c>
      <c r="I233" s="51" t="s">
        <v>1089</v>
      </c>
      <c r="J233" s="52" t="s">
        <v>1090</v>
      </c>
      <c r="K233" s="54" t="s">
        <v>29</v>
      </c>
      <c r="L233" s="48" t="s">
        <v>39</v>
      </c>
      <c r="M233" s="48" t="s">
        <v>56</v>
      </c>
      <c r="S233" s="49"/>
      <c r="T233" s="54"/>
      <c r="U233" s="48"/>
      <c r="V233" s="48" t="s">
        <v>333</v>
      </c>
      <c r="W233" s="48" t="s">
        <v>1091</v>
      </c>
      <c r="X233" s="48" t="s">
        <v>1092</v>
      </c>
      <c r="Y233" s="49">
        <v>199</v>
      </c>
      <c r="Z233" s="53">
        <v>0</v>
      </c>
      <c r="AA233" s="49">
        <v>118</v>
      </c>
      <c r="AB233" s="53">
        <v>15.25</v>
      </c>
    </row>
    <row r="234" spans="1:28" s="421" customFormat="1" x14ac:dyDescent="0.25">
      <c r="A234" s="460"/>
      <c r="B234" s="48" t="s">
        <v>153</v>
      </c>
      <c r="C234" s="49">
        <v>18</v>
      </c>
      <c r="D234" s="50">
        <v>14106072</v>
      </c>
      <c r="E234" s="49" t="s">
        <v>24</v>
      </c>
      <c r="F234" s="49" t="s">
        <v>23</v>
      </c>
      <c r="G234" s="54" t="s">
        <v>25</v>
      </c>
      <c r="H234" s="48" t="s">
        <v>26</v>
      </c>
      <c r="I234" s="51" t="s">
        <v>1093</v>
      </c>
      <c r="J234" s="52" t="s">
        <v>1094</v>
      </c>
      <c r="K234" s="54" t="s">
        <v>29</v>
      </c>
      <c r="L234" s="48" t="s">
        <v>39</v>
      </c>
      <c r="M234" s="48" t="s">
        <v>51</v>
      </c>
      <c r="S234" s="49"/>
      <c r="T234" s="54">
        <v>5671661</v>
      </c>
      <c r="U234" s="48"/>
      <c r="V234" s="48" t="s">
        <v>428</v>
      </c>
      <c r="W234" s="48" t="s">
        <v>1095</v>
      </c>
      <c r="X234" s="48" t="s">
        <v>1096</v>
      </c>
      <c r="Y234" s="49">
        <v>146</v>
      </c>
      <c r="Z234" s="53">
        <v>0</v>
      </c>
      <c r="AA234" s="49">
        <v>80</v>
      </c>
      <c r="AB234" s="53">
        <v>37.5</v>
      </c>
    </row>
    <row r="235" spans="1:28" s="421" customFormat="1" x14ac:dyDescent="0.25">
      <c r="A235" s="460"/>
      <c r="B235" s="48" t="s">
        <v>153</v>
      </c>
      <c r="C235" s="49">
        <v>19</v>
      </c>
      <c r="D235" s="50">
        <v>43586688</v>
      </c>
      <c r="E235" s="49" t="s">
        <v>43</v>
      </c>
      <c r="F235" s="49" t="s">
        <v>24</v>
      </c>
      <c r="G235" s="54" t="s">
        <v>25</v>
      </c>
      <c r="H235" s="48" t="s">
        <v>26</v>
      </c>
      <c r="I235" s="51" t="s">
        <v>1097</v>
      </c>
      <c r="J235" s="52" t="s">
        <v>1098</v>
      </c>
      <c r="K235" s="54" t="s">
        <v>29</v>
      </c>
      <c r="L235" s="48" t="s">
        <v>39</v>
      </c>
      <c r="M235" s="48" t="s">
        <v>51</v>
      </c>
      <c r="S235" s="49"/>
      <c r="T235" s="54"/>
      <c r="U235" s="48"/>
      <c r="V235" s="48" t="s">
        <v>496</v>
      </c>
      <c r="W235" s="48" t="s">
        <v>1099</v>
      </c>
      <c r="X235" s="48" t="s">
        <v>1100</v>
      </c>
      <c r="Y235" s="49">
        <v>91</v>
      </c>
      <c r="Z235" s="53">
        <v>0</v>
      </c>
      <c r="AA235" s="49">
        <v>57</v>
      </c>
      <c r="AB235" s="53">
        <v>47.37</v>
      </c>
    </row>
    <row r="236" spans="1:28" s="421" customFormat="1" x14ac:dyDescent="0.25">
      <c r="A236" s="460"/>
      <c r="B236" s="48" t="s">
        <v>153</v>
      </c>
      <c r="C236" s="49">
        <v>19</v>
      </c>
      <c r="D236" s="50">
        <v>44936523</v>
      </c>
      <c r="E236" s="49" t="s">
        <v>23</v>
      </c>
      <c r="F236" s="49" t="s">
        <v>35</v>
      </c>
      <c r="G236" s="54" t="s">
        <v>25</v>
      </c>
      <c r="H236" s="48" t="s">
        <v>73</v>
      </c>
      <c r="I236" s="51" t="s">
        <v>1101</v>
      </c>
      <c r="J236" s="52" t="s">
        <v>1102</v>
      </c>
      <c r="K236" s="54" t="s">
        <v>29</v>
      </c>
      <c r="L236" s="48" t="s">
        <v>30</v>
      </c>
      <c r="M236" s="48" t="s">
        <v>56</v>
      </c>
      <c r="S236" s="49"/>
      <c r="T236" s="54">
        <v>5515719</v>
      </c>
      <c r="U236" s="48"/>
      <c r="V236" s="48" t="s">
        <v>496</v>
      </c>
      <c r="W236" s="48" t="s">
        <v>1103</v>
      </c>
      <c r="X236" s="48" t="s">
        <v>1104</v>
      </c>
      <c r="Y236" s="49">
        <v>124</v>
      </c>
      <c r="Z236" s="53">
        <v>0</v>
      </c>
      <c r="AA236" s="49">
        <v>62</v>
      </c>
      <c r="AB236" s="53">
        <v>35.479999999999997</v>
      </c>
    </row>
    <row r="237" spans="1:28" s="421" customFormat="1" x14ac:dyDescent="0.25">
      <c r="A237" s="460"/>
      <c r="B237" s="48" t="s">
        <v>153</v>
      </c>
      <c r="C237" s="49">
        <v>19</v>
      </c>
      <c r="D237" s="50">
        <v>50119011</v>
      </c>
      <c r="E237" s="49" t="s">
        <v>43</v>
      </c>
      <c r="F237" s="49" t="s">
        <v>24</v>
      </c>
      <c r="G237" s="54" t="s">
        <v>25</v>
      </c>
      <c r="H237" s="48" t="s">
        <v>26</v>
      </c>
      <c r="I237" s="51" t="s">
        <v>1105</v>
      </c>
      <c r="J237" s="52" t="s">
        <v>1106</v>
      </c>
      <c r="K237" s="54" t="s">
        <v>29</v>
      </c>
      <c r="L237" s="48" t="s">
        <v>30</v>
      </c>
      <c r="M237" s="48" t="s">
        <v>56</v>
      </c>
      <c r="S237" s="49"/>
      <c r="T237" s="54"/>
      <c r="U237" s="48"/>
      <c r="V237" s="48" t="s">
        <v>798</v>
      </c>
      <c r="W237" s="48" t="s">
        <v>1107</v>
      </c>
      <c r="X237" s="48" t="s">
        <v>1108</v>
      </c>
      <c r="Y237" s="49">
        <v>99</v>
      </c>
      <c r="Z237" s="53">
        <v>0</v>
      </c>
      <c r="AA237" s="49">
        <v>53</v>
      </c>
      <c r="AB237" s="53">
        <v>43.4</v>
      </c>
    </row>
    <row r="238" spans="1:28" s="421" customFormat="1" x14ac:dyDescent="0.25">
      <c r="A238" s="460"/>
      <c r="B238" s="48" t="s">
        <v>153</v>
      </c>
      <c r="C238" s="49">
        <v>20</v>
      </c>
      <c r="D238" s="50">
        <v>18365087</v>
      </c>
      <c r="E238" s="49" t="s">
        <v>23</v>
      </c>
      <c r="F238" s="49" t="s">
        <v>43</v>
      </c>
      <c r="G238" s="54" t="s">
        <v>25</v>
      </c>
      <c r="H238" s="48" t="s">
        <v>26</v>
      </c>
      <c r="I238" s="51" t="s">
        <v>1109</v>
      </c>
      <c r="J238" s="52" t="s">
        <v>1110</v>
      </c>
      <c r="K238" s="54" t="s">
        <v>29</v>
      </c>
      <c r="L238" s="48" t="s">
        <v>30</v>
      </c>
      <c r="M238" s="48" t="s">
        <v>31</v>
      </c>
      <c r="S238" s="49"/>
      <c r="T238" s="54"/>
      <c r="U238" s="48"/>
      <c r="V238" s="48" t="s">
        <v>76</v>
      </c>
      <c r="W238" s="48" t="s">
        <v>1111</v>
      </c>
      <c r="X238" s="48" t="s">
        <v>1112</v>
      </c>
      <c r="Y238" s="49">
        <v>99</v>
      </c>
      <c r="Z238" s="53">
        <v>0</v>
      </c>
      <c r="AA238" s="49">
        <v>64</v>
      </c>
      <c r="AB238" s="53">
        <v>45.31</v>
      </c>
    </row>
    <row r="239" spans="1:28" s="421" customFormat="1" x14ac:dyDescent="0.25">
      <c r="A239" s="460"/>
      <c r="B239" s="48" t="s">
        <v>153</v>
      </c>
      <c r="C239" s="49">
        <v>21</v>
      </c>
      <c r="D239" s="50">
        <v>45736139</v>
      </c>
      <c r="E239" s="49" t="s">
        <v>43</v>
      </c>
      <c r="F239" s="49"/>
      <c r="G239" s="54" t="s">
        <v>61</v>
      </c>
      <c r="H239" s="48" t="s">
        <v>26</v>
      </c>
      <c r="I239" s="51" t="s">
        <v>1113</v>
      </c>
      <c r="J239" s="52" t="s">
        <v>1114</v>
      </c>
      <c r="K239" s="54" t="s">
        <v>81</v>
      </c>
      <c r="L239" s="48"/>
      <c r="M239" s="48"/>
      <c r="S239" s="49"/>
      <c r="T239" s="54"/>
      <c r="U239" s="48"/>
      <c r="V239" s="48" t="s">
        <v>376</v>
      </c>
      <c r="W239" s="48" t="s">
        <v>1115</v>
      </c>
      <c r="X239" s="48" t="s">
        <v>1116</v>
      </c>
      <c r="Y239" s="49">
        <v>104</v>
      </c>
      <c r="Z239" s="53">
        <v>0</v>
      </c>
      <c r="AA239" s="49">
        <v>61</v>
      </c>
      <c r="AB239" s="53">
        <v>45.9</v>
      </c>
    </row>
    <row r="240" spans="1:28" s="421" customFormat="1" x14ac:dyDescent="0.25">
      <c r="A240" s="460"/>
      <c r="B240" s="48" t="s">
        <v>153</v>
      </c>
      <c r="C240" s="49">
        <v>21</v>
      </c>
      <c r="D240" s="50">
        <v>47566195</v>
      </c>
      <c r="E240" s="49" t="s">
        <v>24</v>
      </c>
      <c r="F240" s="49" t="s">
        <v>35</v>
      </c>
      <c r="G240" s="54" t="s">
        <v>25</v>
      </c>
      <c r="H240" s="48" t="s">
        <v>26</v>
      </c>
      <c r="I240" s="51" t="s">
        <v>1117</v>
      </c>
      <c r="J240" s="52" t="s">
        <v>1118</v>
      </c>
      <c r="K240" s="54" t="s">
        <v>29</v>
      </c>
      <c r="L240" s="48" t="s">
        <v>30</v>
      </c>
      <c r="M240" s="48" t="s">
        <v>56</v>
      </c>
      <c r="S240" s="49"/>
      <c r="T240" s="54"/>
      <c r="U240" s="48"/>
      <c r="V240" s="48" t="s">
        <v>376</v>
      </c>
      <c r="W240" s="48" t="s">
        <v>1119</v>
      </c>
      <c r="X240" s="48" t="s">
        <v>1120</v>
      </c>
      <c r="Y240" s="49">
        <v>112</v>
      </c>
      <c r="Z240" s="53">
        <v>0</v>
      </c>
      <c r="AA240" s="49">
        <v>72</v>
      </c>
      <c r="AB240" s="53">
        <v>40.28</v>
      </c>
    </row>
    <row r="241" spans="1:28" s="424" customFormat="1" ht="15.75" thickBot="1" x14ac:dyDescent="0.3">
      <c r="A241" s="460"/>
      <c r="B241" s="193" t="s">
        <v>153</v>
      </c>
      <c r="C241" s="192" t="s">
        <v>379</v>
      </c>
      <c r="D241" s="255">
        <v>133379681</v>
      </c>
      <c r="E241" s="192" t="s">
        <v>35</v>
      </c>
      <c r="F241" s="192" t="s">
        <v>24</v>
      </c>
      <c r="G241" s="191" t="s">
        <v>25</v>
      </c>
      <c r="H241" s="193" t="s">
        <v>26</v>
      </c>
      <c r="I241" s="422" t="s">
        <v>1121</v>
      </c>
      <c r="J241" s="423" t="s">
        <v>1122</v>
      </c>
      <c r="K241" s="191" t="s">
        <v>29</v>
      </c>
      <c r="L241" s="193" t="s">
        <v>30</v>
      </c>
      <c r="M241" s="193" t="s">
        <v>56</v>
      </c>
      <c r="S241" s="192"/>
      <c r="T241" s="191"/>
      <c r="U241" s="193"/>
      <c r="V241" s="193" t="s">
        <v>1123</v>
      </c>
      <c r="W241" s="193" t="s">
        <v>1124</v>
      </c>
      <c r="X241" s="193" t="s">
        <v>1125</v>
      </c>
      <c r="Y241" s="192">
        <v>53</v>
      </c>
      <c r="Z241" s="425">
        <v>0</v>
      </c>
      <c r="AA241" s="192">
        <v>41</v>
      </c>
      <c r="AB241" s="425">
        <v>80.489999999999995</v>
      </c>
    </row>
    <row r="242" spans="1:28" s="427" customFormat="1" ht="15" customHeight="1" x14ac:dyDescent="0.25">
      <c r="A242" s="461" t="s">
        <v>4149</v>
      </c>
      <c r="B242" s="292" t="s">
        <v>22</v>
      </c>
      <c r="C242" s="55">
        <v>1</v>
      </c>
      <c r="D242" s="56">
        <v>16354394</v>
      </c>
      <c r="E242" s="55" t="s">
        <v>23</v>
      </c>
      <c r="F242" s="55" t="s">
        <v>24</v>
      </c>
      <c r="G242" s="61" t="s">
        <v>25</v>
      </c>
      <c r="H242" s="57" t="s">
        <v>26</v>
      </c>
      <c r="I242" s="58" t="s">
        <v>1126</v>
      </c>
      <c r="J242" s="59" t="s">
        <v>1127</v>
      </c>
      <c r="K242" s="61" t="s">
        <v>29</v>
      </c>
      <c r="L242" s="57" t="s">
        <v>92</v>
      </c>
      <c r="M242" s="57" t="s">
        <v>51</v>
      </c>
      <c r="N242" s="57">
        <v>200268763</v>
      </c>
      <c r="O242" s="426" t="s">
        <v>4194</v>
      </c>
      <c r="P242" s="426"/>
      <c r="Q242" s="426" t="s">
        <v>4195</v>
      </c>
      <c r="R242" s="426" t="s">
        <v>4196</v>
      </c>
      <c r="S242" s="367"/>
      <c r="T242" s="292"/>
      <c r="U242" s="57"/>
      <c r="V242" s="57" t="s">
        <v>1128</v>
      </c>
      <c r="W242" s="57" t="s">
        <v>1129</v>
      </c>
      <c r="X242" s="57" t="s">
        <v>1130</v>
      </c>
      <c r="Y242" s="55">
        <v>63</v>
      </c>
      <c r="Z242" s="60">
        <v>12.7</v>
      </c>
      <c r="AA242" s="55">
        <v>66</v>
      </c>
      <c r="AB242" s="60">
        <v>2</v>
      </c>
    </row>
    <row r="243" spans="1:28" s="427" customFormat="1" x14ac:dyDescent="0.25">
      <c r="A243" s="461"/>
      <c r="B243" s="292" t="s">
        <v>22</v>
      </c>
      <c r="C243" s="55">
        <v>1</v>
      </c>
      <c r="D243" s="56">
        <v>120468424</v>
      </c>
      <c r="E243" s="55" t="s">
        <v>23</v>
      </c>
      <c r="F243" s="55" t="s">
        <v>43</v>
      </c>
      <c r="G243" s="61" t="s">
        <v>25</v>
      </c>
      <c r="H243" s="57" t="s">
        <v>26</v>
      </c>
      <c r="I243" s="58" t="s">
        <v>1131</v>
      </c>
      <c r="J243" s="59" t="s">
        <v>1132</v>
      </c>
      <c r="K243" s="61" t="s">
        <v>29</v>
      </c>
      <c r="L243" s="57" t="s">
        <v>30</v>
      </c>
      <c r="M243" s="57" t="s">
        <v>56</v>
      </c>
      <c r="N243" s="426"/>
      <c r="O243" s="426"/>
      <c r="P243" s="426"/>
      <c r="Q243" s="426"/>
      <c r="R243" s="426"/>
      <c r="S243" s="367"/>
      <c r="T243" s="292"/>
      <c r="U243" s="57"/>
      <c r="V243" s="57" t="s">
        <v>125</v>
      </c>
      <c r="W243" s="57" t="s">
        <v>1133</v>
      </c>
      <c r="X243" s="57" t="s">
        <v>1134</v>
      </c>
      <c r="Y243" s="55">
        <v>105</v>
      </c>
      <c r="Z243" s="60">
        <v>22.86</v>
      </c>
      <c r="AA243" s="55">
        <v>77</v>
      </c>
      <c r="AB243" s="60">
        <v>0</v>
      </c>
    </row>
    <row r="244" spans="1:28" s="427" customFormat="1" x14ac:dyDescent="0.25">
      <c r="A244" s="461"/>
      <c r="B244" s="292" t="s">
        <v>22</v>
      </c>
      <c r="C244" s="55">
        <v>7</v>
      </c>
      <c r="D244" s="56">
        <v>135419052</v>
      </c>
      <c r="E244" s="55" t="s">
        <v>43</v>
      </c>
      <c r="F244" s="55" t="s">
        <v>24</v>
      </c>
      <c r="G244" s="61" t="s">
        <v>25</v>
      </c>
      <c r="H244" s="57" t="s">
        <v>26</v>
      </c>
      <c r="I244" s="58" t="s">
        <v>1135</v>
      </c>
      <c r="J244" s="59" t="s">
        <v>1136</v>
      </c>
      <c r="K244" s="61" t="s">
        <v>29</v>
      </c>
      <c r="L244" s="57" t="s">
        <v>39</v>
      </c>
      <c r="M244" s="57" t="s">
        <v>51</v>
      </c>
      <c r="N244" s="426"/>
      <c r="O244" s="426"/>
      <c r="P244" s="426"/>
      <c r="Q244" s="426"/>
      <c r="R244" s="426"/>
      <c r="S244" s="55"/>
      <c r="T244" s="61"/>
      <c r="U244" s="57"/>
      <c r="V244" s="57" t="s">
        <v>243</v>
      </c>
      <c r="W244" s="57" t="s">
        <v>1137</v>
      </c>
      <c r="X244" s="57" t="s">
        <v>1138</v>
      </c>
      <c r="Y244" s="55">
        <v>127</v>
      </c>
      <c r="Z244" s="60">
        <v>18.11</v>
      </c>
      <c r="AA244" s="55">
        <v>90</v>
      </c>
      <c r="AB244" s="60">
        <v>0</v>
      </c>
    </row>
    <row r="245" spans="1:28" s="427" customFormat="1" x14ac:dyDescent="0.25">
      <c r="A245" s="461"/>
      <c r="B245" s="292" t="s">
        <v>22</v>
      </c>
      <c r="C245" s="55">
        <v>12</v>
      </c>
      <c r="D245" s="56">
        <v>47162131</v>
      </c>
      <c r="E245" s="55" t="s">
        <v>23</v>
      </c>
      <c r="F245" s="55" t="s">
        <v>35</v>
      </c>
      <c r="G245" s="61" t="s">
        <v>25</v>
      </c>
      <c r="H245" s="57" t="s">
        <v>26</v>
      </c>
      <c r="I245" s="58" t="s">
        <v>1139</v>
      </c>
      <c r="J245" s="59" t="s">
        <v>1140</v>
      </c>
      <c r="K245" s="61" t="s">
        <v>29</v>
      </c>
      <c r="L245" s="57" t="s">
        <v>39</v>
      </c>
      <c r="M245" s="57" t="s">
        <v>56</v>
      </c>
      <c r="N245" s="426"/>
      <c r="O245" s="426"/>
      <c r="P245" s="426"/>
      <c r="Q245" s="426"/>
      <c r="R245" s="426"/>
      <c r="S245" s="55"/>
      <c r="T245" s="61"/>
      <c r="U245" s="57"/>
      <c r="V245" s="57" t="s">
        <v>784</v>
      </c>
      <c r="W245" s="57" t="s">
        <v>1141</v>
      </c>
      <c r="X245" s="57" t="s">
        <v>1142</v>
      </c>
      <c r="Y245" s="55">
        <v>84</v>
      </c>
      <c r="Z245" s="60">
        <v>29.76</v>
      </c>
      <c r="AA245" s="55">
        <v>88</v>
      </c>
      <c r="AB245" s="60">
        <v>0</v>
      </c>
    </row>
    <row r="246" spans="1:28" s="427" customFormat="1" x14ac:dyDescent="0.25">
      <c r="A246" s="461"/>
      <c r="B246" s="292" t="s">
        <v>22</v>
      </c>
      <c r="C246" s="55">
        <v>17</v>
      </c>
      <c r="D246" s="56">
        <v>48777009</v>
      </c>
      <c r="E246" s="55" t="s">
        <v>43</v>
      </c>
      <c r="F246" s="55" t="s">
        <v>35</v>
      </c>
      <c r="G246" s="61" t="s">
        <v>25</v>
      </c>
      <c r="H246" s="57" t="s">
        <v>26</v>
      </c>
      <c r="I246" s="58" t="s">
        <v>1143</v>
      </c>
      <c r="J246" s="59" t="s">
        <v>1144</v>
      </c>
      <c r="K246" s="61" t="s">
        <v>29</v>
      </c>
      <c r="L246" s="57" t="s">
        <v>30</v>
      </c>
      <c r="M246" s="57" t="s">
        <v>51</v>
      </c>
      <c r="N246" s="426"/>
      <c r="O246" s="426"/>
      <c r="P246" s="426"/>
      <c r="Q246" s="426"/>
      <c r="R246" s="426" t="s">
        <v>4181</v>
      </c>
      <c r="S246" s="55"/>
      <c r="T246" s="61">
        <v>145097</v>
      </c>
      <c r="U246" s="57"/>
      <c r="V246" s="57" t="s">
        <v>1145</v>
      </c>
      <c r="W246" s="57" t="s">
        <v>1146</v>
      </c>
      <c r="X246" s="57" t="s">
        <v>1147</v>
      </c>
      <c r="Y246" s="55">
        <v>85</v>
      </c>
      <c r="Z246" s="60">
        <v>17.649999999999999</v>
      </c>
      <c r="AA246" s="55">
        <v>134</v>
      </c>
      <c r="AB246" s="60">
        <v>0</v>
      </c>
    </row>
    <row r="247" spans="1:28" s="427" customFormat="1" x14ac:dyDescent="0.25">
      <c r="A247" s="461"/>
      <c r="B247" s="292" t="s">
        <v>22</v>
      </c>
      <c r="C247" s="55">
        <v>12</v>
      </c>
      <c r="D247" s="56">
        <v>110345469</v>
      </c>
      <c r="E247" s="55" t="s">
        <v>23</v>
      </c>
      <c r="F247" s="55" t="s">
        <v>35</v>
      </c>
      <c r="G247" s="61" t="s">
        <v>25</v>
      </c>
      <c r="H247" s="57" t="s">
        <v>26</v>
      </c>
      <c r="I247" s="58" t="s">
        <v>1148</v>
      </c>
      <c r="J247" s="59" t="s">
        <v>1149</v>
      </c>
      <c r="K247" s="61" t="s">
        <v>29</v>
      </c>
      <c r="L247" s="57" t="s">
        <v>39</v>
      </c>
      <c r="M247" s="57" t="s">
        <v>51</v>
      </c>
      <c r="N247" s="426"/>
      <c r="O247" s="426"/>
      <c r="P247" s="426"/>
      <c r="Q247" s="426"/>
      <c r="R247" s="426"/>
      <c r="S247" s="55"/>
      <c r="T247" s="61"/>
      <c r="U247" s="57"/>
      <c r="V247" s="57" t="s">
        <v>1150</v>
      </c>
      <c r="W247" s="57" t="s">
        <v>1151</v>
      </c>
      <c r="X247" s="57" t="s">
        <v>1152</v>
      </c>
      <c r="Y247" s="55">
        <v>83</v>
      </c>
      <c r="Z247" s="60">
        <v>20.48</v>
      </c>
      <c r="AA247" s="55">
        <v>86</v>
      </c>
      <c r="AB247" s="60">
        <v>1</v>
      </c>
    </row>
    <row r="248" spans="1:28" s="427" customFormat="1" x14ac:dyDescent="0.25">
      <c r="A248" s="461"/>
      <c r="B248" s="292" t="s">
        <v>22</v>
      </c>
      <c r="C248" s="55">
        <v>14</v>
      </c>
      <c r="D248" s="56">
        <v>50100042</v>
      </c>
      <c r="E248" s="55" t="s">
        <v>23</v>
      </c>
      <c r="F248" s="55" t="s">
        <v>35</v>
      </c>
      <c r="G248" s="61" t="s">
        <v>25</v>
      </c>
      <c r="H248" s="57" t="s">
        <v>26</v>
      </c>
      <c r="I248" s="58" t="s">
        <v>1153</v>
      </c>
      <c r="J248" s="59" t="s">
        <v>1154</v>
      </c>
      <c r="K248" s="61" t="s">
        <v>29</v>
      </c>
      <c r="L248" s="57" t="s">
        <v>30</v>
      </c>
      <c r="M248" s="57" t="s">
        <v>31</v>
      </c>
      <c r="N248" s="426"/>
      <c r="O248" s="426"/>
      <c r="P248" s="426"/>
      <c r="Q248" s="426"/>
      <c r="R248" s="426"/>
      <c r="S248" s="55"/>
      <c r="T248" s="61"/>
      <c r="U248" s="57"/>
      <c r="V248" s="57" t="s">
        <v>98</v>
      </c>
      <c r="W248" s="57" t="s">
        <v>1155</v>
      </c>
      <c r="X248" s="57" t="s">
        <v>1156</v>
      </c>
      <c r="Y248" s="55">
        <v>47</v>
      </c>
      <c r="Z248" s="60">
        <v>38.299999999999997</v>
      </c>
      <c r="AA248" s="55">
        <v>75</v>
      </c>
      <c r="AB248" s="60">
        <v>1</v>
      </c>
    </row>
    <row r="249" spans="1:28" s="427" customFormat="1" x14ac:dyDescent="0.25">
      <c r="A249" s="461"/>
      <c r="B249" s="292" t="s">
        <v>22</v>
      </c>
      <c r="C249" s="55">
        <v>17</v>
      </c>
      <c r="D249" s="56">
        <v>80477837</v>
      </c>
      <c r="E249" s="55" t="s">
        <v>43</v>
      </c>
      <c r="F249" s="55" t="s">
        <v>24</v>
      </c>
      <c r="G249" s="61" t="s">
        <v>25</v>
      </c>
      <c r="H249" s="57" t="s">
        <v>26</v>
      </c>
      <c r="I249" s="58" t="s">
        <v>1157</v>
      </c>
      <c r="J249" s="59" t="s">
        <v>1158</v>
      </c>
      <c r="K249" s="61" t="s">
        <v>29</v>
      </c>
      <c r="L249" s="57" t="s">
        <v>39</v>
      </c>
      <c r="M249" s="57" t="s">
        <v>51</v>
      </c>
      <c r="N249" s="426"/>
      <c r="O249" s="426"/>
      <c r="P249" s="426"/>
      <c r="Q249" s="426"/>
      <c r="R249" s="426"/>
      <c r="S249" s="55"/>
      <c r="T249" s="61"/>
      <c r="U249" s="57"/>
      <c r="V249" s="57" t="s">
        <v>333</v>
      </c>
      <c r="W249" s="57" t="s">
        <v>1159</v>
      </c>
      <c r="X249" s="57" t="s">
        <v>1160</v>
      </c>
      <c r="Y249" s="55">
        <v>66</v>
      </c>
      <c r="Z249" s="60">
        <v>22.73</v>
      </c>
      <c r="AA249" s="55">
        <v>63</v>
      </c>
      <c r="AB249" s="60">
        <v>1.6</v>
      </c>
    </row>
    <row r="250" spans="1:28" s="427" customFormat="1" x14ac:dyDescent="0.25">
      <c r="A250" s="461"/>
      <c r="B250" s="292" t="s">
        <v>22</v>
      </c>
      <c r="C250" s="55">
        <v>17</v>
      </c>
      <c r="D250" s="56">
        <v>80477840</v>
      </c>
      <c r="E250" s="55" t="s">
        <v>1161</v>
      </c>
      <c r="F250" s="55" t="s">
        <v>1162</v>
      </c>
      <c r="G250" s="61" t="s">
        <v>160</v>
      </c>
      <c r="H250" s="57" t="s">
        <v>26</v>
      </c>
      <c r="I250" s="58" t="s">
        <v>1157</v>
      </c>
      <c r="J250" s="59" t="s">
        <v>1163</v>
      </c>
      <c r="K250" s="61" t="s">
        <v>64</v>
      </c>
      <c r="L250" s="57"/>
      <c r="M250" s="57"/>
      <c r="N250" s="426"/>
      <c r="O250" s="426"/>
      <c r="P250" s="426"/>
      <c r="Q250" s="426"/>
      <c r="R250" s="426"/>
      <c r="S250" s="55"/>
      <c r="T250" s="61"/>
      <c r="U250" s="57"/>
      <c r="V250" s="57" t="s">
        <v>333</v>
      </c>
      <c r="W250" s="57" t="s">
        <v>1159</v>
      </c>
      <c r="X250" s="57" t="s">
        <v>1164</v>
      </c>
      <c r="Y250" s="55">
        <v>74</v>
      </c>
      <c r="Z250" s="60">
        <v>29.73</v>
      </c>
      <c r="AA250" s="55">
        <v>63</v>
      </c>
      <c r="AB250" s="60">
        <v>1.6</v>
      </c>
    </row>
    <row r="251" spans="1:28" s="429" customFormat="1" x14ac:dyDescent="0.25">
      <c r="A251" s="461"/>
      <c r="B251" s="62" t="s">
        <v>504</v>
      </c>
      <c r="C251" s="63">
        <v>2</v>
      </c>
      <c r="D251" s="64">
        <v>130898813</v>
      </c>
      <c r="E251" s="63" t="s">
        <v>43</v>
      </c>
      <c r="F251" s="63" t="s">
        <v>35</v>
      </c>
      <c r="G251" s="62" t="s">
        <v>25</v>
      </c>
      <c r="H251" s="65" t="s">
        <v>26</v>
      </c>
      <c r="I251" s="66" t="s">
        <v>1165</v>
      </c>
      <c r="J251" s="67" t="s">
        <v>1166</v>
      </c>
      <c r="K251" s="62" t="s">
        <v>29</v>
      </c>
      <c r="L251" s="65" t="s">
        <v>39</v>
      </c>
      <c r="M251" s="65" t="s">
        <v>51</v>
      </c>
      <c r="N251" s="65">
        <v>142452531</v>
      </c>
      <c r="O251" s="428"/>
      <c r="P251" s="428"/>
      <c r="Q251" s="428" t="s">
        <v>4197</v>
      </c>
      <c r="R251" s="428" t="s">
        <v>4198</v>
      </c>
      <c r="S251" s="70"/>
      <c r="T251" s="75"/>
      <c r="U251" s="69"/>
      <c r="V251" s="65" t="s">
        <v>752</v>
      </c>
      <c r="W251" s="65" t="s">
        <v>1167</v>
      </c>
      <c r="X251" s="65" t="s">
        <v>1168</v>
      </c>
      <c r="Y251" s="63">
        <v>55</v>
      </c>
      <c r="Z251" s="68">
        <v>7.27</v>
      </c>
      <c r="AA251" s="63">
        <v>71</v>
      </c>
      <c r="AB251" s="68">
        <v>11.27</v>
      </c>
    </row>
    <row r="252" spans="1:28" s="429" customFormat="1" x14ac:dyDescent="0.25">
      <c r="A252" s="461"/>
      <c r="B252" s="62" t="s">
        <v>504</v>
      </c>
      <c r="C252" s="63">
        <v>2</v>
      </c>
      <c r="D252" s="64">
        <v>132524719</v>
      </c>
      <c r="E252" s="63" t="s">
        <v>23</v>
      </c>
      <c r="F252" s="63" t="s">
        <v>24</v>
      </c>
      <c r="G252" s="62" t="s">
        <v>25</v>
      </c>
      <c r="H252" s="65" t="s">
        <v>26</v>
      </c>
      <c r="I252" s="66" t="s">
        <v>1169</v>
      </c>
      <c r="J252" s="67" t="s">
        <v>1170</v>
      </c>
      <c r="K252" s="62" t="s">
        <v>29</v>
      </c>
      <c r="L252" s="65"/>
      <c r="M252" s="65" t="s">
        <v>31</v>
      </c>
      <c r="N252" s="428"/>
      <c r="O252" s="428"/>
      <c r="P252" s="428"/>
      <c r="Q252" s="428"/>
      <c r="R252" s="428"/>
      <c r="S252" s="63"/>
      <c r="T252" s="62"/>
      <c r="U252" s="69"/>
      <c r="V252" s="65" t="s">
        <v>40</v>
      </c>
      <c r="W252" s="65" t="s">
        <v>1171</v>
      </c>
      <c r="X252" s="65" t="s">
        <v>1172</v>
      </c>
      <c r="Y252" s="63">
        <v>18</v>
      </c>
      <c r="Z252" s="68">
        <v>33.33</v>
      </c>
      <c r="AA252" s="63">
        <v>15</v>
      </c>
      <c r="AB252" s="68">
        <v>33.33</v>
      </c>
    </row>
    <row r="253" spans="1:28" s="429" customFormat="1" x14ac:dyDescent="0.25">
      <c r="A253" s="461"/>
      <c r="B253" s="62" t="s">
        <v>504</v>
      </c>
      <c r="C253" s="63">
        <v>3</v>
      </c>
      <c r="D253" s="64">
        <v>151093973</v>
      </c>
      <c r="E253" s="63" t="s">
        <v>23</v>
      </c>
      <c r="F253" s="63" t="s">
        <v>35</v>
      </c>
      <c r="G253" s="62" t="s">
        <v>25</v>
      </c>
      <c r="H253" s="65" t="s">
        <v>36</v>
      </c>
      <c r="I253" s="66" t="s">
        <v>1173</v>
      </c>
      <c r="J253" s="67" t="s">
        <v>1174</v>
      </c>
      <c r="K253" s="62" t="s">
        <v>29</v>
      </c>
      <c r="L253" s="65" t="s">
        <v>30</v>
      </c>
      <c r="M253" s="65" t="s">
        <v>31</v>
      </c>
      <c r="N253" s="428"/>
      <c r="O253" s="428"/>
      <c r="P253" s="428"/>
      <c r="Q253" s="428"/>
      <c r="R253" s="428"/>
      <c r="S253" s="63"/>
      <c r="T253" s="62"/>
      <c r="U253" s="69"/>
      <c r="V253" s="65" t="s">
        <v>82</v>
      </c>
      <c r="W253" s="65" t="s">
        <v>1175</v>
      </c>
      <c r="X253" s="65" t="s">
        <v>1176</v>
      </c>
      <c r="Y253" s="63">
        <v>87</v>
      </c>
      <c r="Z253" s="68">
        <v>52.87</v>
      </c>
      <c r="AA253" s="63">
        <v>57</v>
      </c>
      <c r="AB253" s="68">
        <v>29.82</v>
      </c>
    </row>
    <row r="254" spans="1:28" s="429" customFormat="1" x14ac:dyDescent="0.25">
      <c r="A254" s="461"/>
      <c r="B254" s="62" t="s">
        <v>504</v>
      </c>
      <c r="C254" s="63">
        <v>5</v>
      </c>
      <c r="D254" s="64">
        <v>176011806</v>
      </c>
      <c r="E254" s="63" t="s">
        <v>23</v>
      </c>
      <c r="F254" s="63" t="s">
        <v>35</v>
      </c>
      <c r="G254" s="62" t="s">
        <v>25</v>
      </c>
      <c r="H254" s="65" t="s">
        <v>26</v>
      </c>
      <c r="I254" s="66" t="s">
        <v>1177</v>
      </c>
      <c r="J254" s="67" t="s">
        <v>1178</v>
      </c>
      <c r="K254" s="62" t="s">
        <v>29</v>
      </c>
      <c r="L254" s="65" t="s">
        <v>30</v>
      </c>
      <c r="M254" s="65" t="s">
        <v>31</v>
      </c>
      <c r="N254" s="428"/>
      <c r="O254" s="428"/>
      <c r="P254" s="428"/>
      <c r="Q254" s="428"/>
      <c r="R254" s="428"/>
      <c r="S254" s="63"/>
      <c r="T254" s="62"/>
      <c r="U254" s="69"/>
      <c r="V254" s="65" t="s">
        <v>516</v>
      </c>
      <c r="W254" s="65" t="s">
        <v>1179</v>
      </c>
      <c r="X254" s="65" t="s">
        <v>1180</v>
      </c>
      <c r="Y254" s="63">
        <v>66</v>
      </c>
      <c r="Z254" s="68">
        <v>27.27</v>
      </c>
      <c r="AA254" s="63">
        <v>53</v>
      </c>
      <c r="AB254" s="68">
        <v>5.66</v>
      </c>
    </row>
    <row r="255" spans="1:28" s="429" customFormat="1" x14ac:dyDescent="0.25">
      <c r="A255" s="461"/>
      <c r="B255" s="62" t="s">
        <v>504</v>
      </c>
      <c r="C255" s="70">
        <v>7</v>
      </c>
      <c r="D255" s="71">
        <v>92735203</v>
      </c>
      <c r="E255" s="70" t="s">
        <v>43</v>
      </c>
      <c r="F255" s="70" t="s">
        <v>24</v>
      </c>
      <c r="G255" s="75" t="s">
        <v>25</v>
      </c>
      <c r="H255" s="69" t="s">
        <v>26</v>
      </c>
      <c r="I255" s="72" t="s">
        <v>1181</v>
      </c>
      <c r="J255" s="73" t="s">
        <v>1182</v>
      </c>
      <c r="K255" s="75" t="s">
        <v>29</v>
      </c>
      <c r="L255" s="69" t="s">
        <v>39</v>
      </c>
      <c r="M255" s="69" t="s">
        <v>51</v>
      </c>
      <c r="N255" s="428"/>
      <c r="O255" s="428"/>
      <c r="P255" s="428"/>
      <c r="Q255" s="428"/>
      <c r="R255" s="428"/>
      <c r="S255" s="70"/>
      <c r="T255" s="75"/>
      <c r="U255" s="69"/>
      <c r="V255" s="69" t="s">
        <v>40</v>
      </c>
      <c r="W255" s="69" t="s">
        <v>1183</v>
      </c>
      <c r="X255" s="69" t="s">
        <v>1184</v>
      </c>
      <c r="Y255" s="70">
        <v>113</v>
      </c>
      <c r="Z255" s="74">
        <v>51.33</v>
      </c>
      <c r="AA255" s="70">
        <v>121</v>
      </c>
      <c r="AB255" s="74">
        <v>42.15</v>
      </c>
    </row>
    <row r="256" spans="1:28" s="429" customFormat="1" x14ac:dyDescent="0.25">
      <c r="A256" s="461"/>
      <c r="B256" s="62" t="s">
        <v>504</v>
      </c>
      <c r="C256" s="70">
        <v>8</v>
      </c>
      <c r="D256" s="71">
        <v>105456604</v>
      </c>
      <c r="E256" s="70" t="s">
        <v>43</v>
      </c>
      <c r="F256" s="70" t="s">
        <v>23</v>
      </c>
      <c r="G256" s="75" t="s">
        <v>25</v>
      </c>
      <c r="H256" s="69" t="s">
        <v>26</v>
      </c>
      <c r="I256" s="72" t="s">
        <v>1185</v>
      </c>
      <c r="J256" s="73" t="s">
        <v>1186</v>
      </c>
      <c r="K256" s="75" t="s">
        <v>29</v>
      </c>
      <c r="L256" s="69" t="s">
        <v>30</v>
      </c>
      <c r="M256" s="69" t="s">
        <v>31</v>
      </c>
      <c r="N256" s="428"/>
      <c r="O256" s="428"/>
      <c r="P256" s="428"/>
      <c r="Q256" s="428"/>
      <c r="R256" s="428"/>
      <c r="S256" s="70"/>
      <c r="T256" s="75"/>
      <c r="U256" s="69"/>
      <c r="V256" s="69" t="s">
        <v>376</v>
      </c>
      <c r="W256" s="69" t="s">
        <v>1187</v>
      </c>
      <c r="X256" s="69" t="s">
        <v>1188</v>
      </c>
      <c r="Y256" s="70">
        <v>131</v>
      </c>
      <c r="Z256" s="74">
        <v>22.14</v>
      </c>
      <c r="AA256" s="70">
        <v>114</v>
      </c>
      <c r="AB256" s="74">
        <v>19.3</v>
      </c>
    </row>
    <row r="257" spans="1:28" s="429" customFormat="1" x14ac:dyDescent="0.25">
      <c r="A257" s="461"/>
      <c r="B257" s="62" t="s">
        <v>504</v>
      </c>
      <c r="C257" s="70">
        <v>11</v>
      </c>
      <c r="D257" s="71">
        <v>6048445</v>
      </c>
      <c r="E257" s="70" t="s">
        <v>23</v>
      </c>
      <c r="F257" s="70" t="s">
        <v>35</v>
      </c>
      <c r="G257" s="75" t="s">
        <v>25</v>
      </c>
      <c r="H257" s="69" t="s">
        <v>26</v>
      </c>
      <c r="I257" s="72" t="s">
        <v>1189</v>
      </c>
      <c r="J257" s="73" t="s">
        <v>1190</v>
      </c>
      <c r="K257" s="75" t="s">
        <v>29</v>
      </c>
      <c r="L257" s="69" t="s">
        <v>39</v>
      </c>
      <c r="M257" s="69" t="s">
        <v>51</v>
      </c>
      <c r="N257" s="428"/>
      <c r="O257" s="428"/>
      <c r="P257" s="428"/>
      <c r="Q257" s="428"/>
      <c r="R257" s="428"/>
      <c r="S257" s="70"/>
      <c r="T257" s="75"/>
      <c r="U257" s="69"/>
      <c r="V257" s="69" t="s">
        <v>1191</v>
      </c>
      <c r="W257" s="69" t="s">
        <v>1192</v>
      </c>
      <c r="X257" s="69" t="s">
        <v>1193</v>
      </c>
      <c r="Y257" s="70">
        <v>113</v>
      </c>
      <c r="Z257" s="74">
        <v>34.51</v>
      </c>
      <c r="AA257" s="70">
        <v>118</v>
      </c>
      <c r="AB257" s="74">
        <v>42.37</v>
      </c>
    </row>
    <row r="258" spans="1:28" s="429" customFormat="1" x14ac:dyDescent="0.25">
      <c r="A258" s="461"/>
      <c r="B258" s="62" t="s">
        <v>504</v>
      </c>
      <c r="C258" s="70">
        <v>17</v>
      </c>
      <c r="D258" s="71">
        <v>43348544</v>
      </c>
      <c r="E258" s="70" t="s">
        <v>23</v>
      </c>
      <c r="F258" s="70" t="s">
        <v>24</v>
      </c>
      <c r="G258" s="75" t="s">
        <v>25</v>
      </c>
      <c r="H258" s="69" t="s">
        <v>26</v>
      </c>
      <c r="I258" s="72" t="s">
        <v>1194</v>
      </c>
      <c r="J258" s="73" t="s">
        <v>1195</v>
      </c>
      <c r="K258" s="75" t="s">
        <v>29</v>
      </c>
      <c r="L258" s="69" t="s">
        <v>30</v>
      </c>
      <c r="M258" s="69" t="s">
        <v>56</v>
      </c>
      <c r="N258" s="428"/>
      <c r="O258" s="428"/>
      <c r="P258" s="428"/>
      <c r="Q258" s="428"/>
      <c r="R258" s="428"/>
      <c r="S258" s="70"/>
      <c r="T258" s="75"/>
      <c r="U258" s="69"/>
      <c r="V258" s="69" t="s">
        <v>110</v>
      </c>
      <c r="W258" s="69" t="s">
        <v>1196</v>
      </c>
      <c r="X258" s="69" t="s">
        <v>1197</v>
      </c>
      <c r="Y258" s="70">
        <v>78</v>
      </c>
      <c r="Z258" s="74">
        <v>24.36</v>
      </c>
      <c r="AA258" s="70">
        <v>85</v>
      </c>
      <c r="AB258" s="74">
        <v>20</v>
      </c>
    </row>
    <row r="259" spans="1:28" s="429" customFormat="1" x14ac:dyDescent="0.25">
      <c r="A259" s="461"/>
      <c r="B259" s="62" t="s">
        <v>504</v>
      </c>
      <c r="C259" s="70" t="s">
        <v>379</v>
      </c>
      <c r="D259" s="71">
        <v>149101934</v>
      </c>
      <c r="E259" s="70" t="s">
        <v>35</v>
      </c>
      <c r="F259" s="70" t="s">
        <v>23</v>
      </c>
      <c r="G259" s="75" t="s">
        <v>25</v>
      </c>
      <c r="H259" s="69" t="s">
        <v>26</v>
      </c>
      <c r="I259" s="72" t="s">
        <v>1198</v>
      </c>
      <c r="J259" s="73" t="s">
        <v>1199</v>
      </c>
      <c r="K259" s="75" t="s">
        <v>29</v>
      </c>
      <c r="L259" s="69" t="s">
        <v>92</v>
      </c>
      <c r="M259" s="69" t="s">
        <v>51</v>
      </c>
      <c r="N259" s="428"/>
      <c r="O259" s="428"/>
      <c r="P259" s="428"/>
      <c r="Q259" s="428" t="s">
        <v>4199</v>
      </c>
      <c r="R259" s="428" t="s">
        <v>4200</v>
      </c>
      <c r="S259" s="70"/>
      <c r="T259" s="75" t="s">
        <v>1200</v>
      </c>
      <c r="U259" s="69"/>
      <c r="V259" s="69" t="s">
        <v>1201</v>
      </c>
      <c r="W259" s="69" t="s">
        <v>1202</v>
      </c>
      <c r="X259" s="69" t="s">
        <v>1203</v>
      </c>
      <c r="Y259" s="70">
        <v>63</v>
      </c>
      <c r="Z259" s="74">
        <v>15.87</v>
      </c>
      <c r="AA259" s="70">
        <v>60</v>
      </c>
      <c r="AB259" s="74">
        <v>6.67</v>
      </c>
    </row>
    <row r="260" spans="1:28" s="431" customFormat="1" x14ac:dyDescent="0.25">
      <c r="A260" s="461"/>
      <c r="B260" s="76" t="s">
        <v>153</v>
      </c>
      <c r="C260" s="77">
        <v>1</v>
      </c>
      <c r="D260" s="78">
        <v>879435</v>
      </c>
      <c r="E260" s="77" t="s">
        <v>43</v>
      </c>
      <c r="F260" s="77" t="s">
        <v>24</v>
      </c>
      <c r="G260" s="83" t="s">
        <v>25</v>
      </c>
      <c r="H260" s="79" t="s">
        <v>26</v>
      </c>
      <c r="I260" s="80" t="s">
        <v>1204</v>
      </c>
      <c r="J260" s="81" t="s">
        <v>1205</v>
      </c>
      <c r="K260" s="83" t="s">
        <v>29</v>
      </c>
      <c r="L260" s="79"/>
      <c r="M260" s="79" t="s">
        <v>31</v>
      </c>
      <c r="N260" s="430"/>
      <c r="O260" s="430"/>
      <c r="P260" s="430"/>
      <c r="Q260" s="430"/>
      <c r="R260" s="430"/>
      <c r="S260" s="85"/>
      <c r="T260" s="76"/>
      <c r="U260" s="79"/>
      <c r="V260" s="79" t="s">
        <v>156</v>
      </c>
      <c r="W260" s="79" t="s">
        <v>1206</v>
      </c>
      <c r="X260" s="79" t="s">
        <v>1207</v>
      </c>
      <c r="Y260" s="77">
        <v>38</v>
      </c>
      <c r="Z260" s="82">
        <v>0</v>
      </c>
      <c r="AA260" s="77">
        <v>42</v>
      </c>
      <c r="AB260" s="82">
        <v>47.62</v>
      </c>
    </row>
    <row r="261" spans="1:28" s="431" customFormat="1" x14ac:dyDescent="0.25">
      <c r="A261" s="461"/>
      <c r="B261" s="76" t="s">
        <v>153</v>
      </c>
      <c r="C261" s="77">
        <v>1</v>
      </c>
      <c r="D261" s="78">
        <v>158260966</v>
      </c>
      <c r="E261" s="77" t="s">
        <v>23</v>
      </c>
      <c r="F261" s="77" t="s">
        <v>35</v>
      </c>
      <c r="G261" s="83" t="s">
        <v>25</v>
      </c>
      <c r="H261" s="79" t="s">
        <v>26</v>
      </c>
      <c r="I261" s="80" t="s">
        <v>1208</v>
      </c>
      <c r="J261" s="81" t="s">
        <v>1209</v>
      </c>
      <c r="K261" s="83" t="s">
        <v>109</v>
      </c>
      <c r="L261" s="79"/>
      <c r="M261" s="79"/>
      <c r="N261" s="430"/>
      <c r="O261" s="430"/>
      <c r="P261" s="430"/>
      <c r="Q261" s="430"/>
      <c r="R261" s="430"/>
      <c r="S261" s="85"/>
      <c r="T261" s="76"/>
      <c r="U261" s="79"/>
      <c r="V261" s="79" t="s">
        <v>165</v>
      </c>
      <c r="W261" s="79" t="s">
        <v>1210</v>
      </c>
      <c r="X261" s="79" t="s">
        <v>1211</v>
      </c>
      <c r="Y261" s="77">
        <v>72</v>
      </c>
      <c r="Z261" s="82">
        <v>0</v>
      </c>
      <c r="AA261" s="77">
        <v>48</v>
      </c>
      <c r="AB261" s="82">
        <v>14.58</v>
      </c>
    </row>
    <row r="262" spans="1:28" s="431" customFormat="1" x14ac:dyDescent="0.25">
      <c r="A262" s="461"/>
      <c r="B262" s="76" t="s">
        <v>153</v>
      </c>
      <c r="C262" s="77">
        <v>1</v>
      </c>
      <c r="D262" s="78">
        <v>182615870</v>
      </c>
      <c r="E262" s="77" t="s">
        <v>23</v>
      </c>
      <c r="F262" s="77" t="s">
        <v>35</v>
      </c>
      <c r="G262" s="83" t="s">
        <v>25</v>
      </c>
      <c r="H262" s="79" t="s">
        <v>26</v>
      </c>
      <c r="I262" s="80" t="s">
        <v>1212</v>
      </c>
      <c r="J262" s="81" t="s">
        <v>1213</v>
      </c>
      <c r="K262" s="83" t="s">
        <v>1214</v>
      </c>
      <c r="L262" s="79"/>
      <c r="M262" s="79"/>
      <c r="N262" s="430"/>
      <c r="O262" s="430"/>
      <c r="P262" s="430"/>
      <c r="Q262" s="430"/>
      <c r="R262" s="430"/>
      <c r="S262" s="85"/>
      <c r="T262" s="76"/>
      <c r="U262" s="79"/>
      <c r="V262" s="79" t="s">
        <v>333</v>
      </c>
      <c r="W262" s="79" t="s">
        <v>1215</v>
      </c>
      <c r="X262" s="79" t="s">
        <v>1216</v>
      </c>
      <c r="Y262" s="77">
        <v>96</v>
      </c>
      <c r="Z262" s="82">
        <v>0</v>
      </c>
      <c r="AA262" s="77">
        <v>79</v>
      </c>
      <c r="AB262" s="82">
        <v>15.19</v>
      </c>
    </row>
    <row r="263" spans="1:28" s="431" customFormat="1" x14ac:dyDescent="0.25">
      <c r="A263" s="461"/>
      <c r="B263" s="76" t="s">
        <v>153</v>
      </c>
      <c r="C263" s="85">
        <v>4</v>
      </c>
      <c r="D263" s="86">
        <v>106474106</v>
      </c>
      <c r="E263" s="85" t="s">
        <v>23</v>
      </c>
      <c r="F263" s="85" t="s">
        <v>35</v>
      </c>
      <c r="G263" s="76" t="s">
        <v>25</v>
      </c>
      <c r="H263" s="84" t="s">
        <v>26</v>
      </c>
      <c r="I263" s="87" t="s">
        <v>1217</v>
      </c>
      <c r="J263" s="88" t="s">
        <v>1218</v>
      </c>
      <c r="K263" s="76" t="s">
        <v>29</v>
      </c>
      <c r="L263" s="84" t="s">
        <v>30</v>
      </c>
      <c r="M263" s="84" t="s">
        <v>51</v>
      </c>
      <c r="N263" s="430"/>
      <c r="O263" s="430"/>
      <c r="P263" s="430"/>
      <c r="Q263" s="430"/>
      <c r="R263" s="430"/>
      <c r="S263" s="77"/>
      <c r="T263" s="83"/>
      <c r="U263" s="79"/>
      <c r="V263" s="84" t="s">
        <v>1219</v>
      </c>
      <c r="W263" s="84" t="s">
        <v>1220</v>
      </c>
      <c r="X263" s="84" t="s">
        <v>1221</v>
      </c>
      <c r="Y263" s="85">
        <v>90</v>
      </c>
      <c r="Z263" s="82">
        <v>0</v>
      </c>
      <c r="AA263" s="85">
        <v>65</v>
      </c>
      <c r="AB263" s="89">
        <v>35.380000000000003</v>
      </c>
    </row>
    <row r="264" spans="1:28" s="431" customFormat="1" x14ac:dyDescent="0.25">
      <c r="A264" s="461"/>
      <c r="B264" s="76" t="s">
        <v>153</v>
      </c>
      <c r="C264" s="85">
        <v>4</v>
      </c>
      <c r="D264" s="86">
        <v>187630863</v>
      </c>
      <c r="E264" s="85" t="s">
        <v>24</v>
      </c>
      <c r="F264" s="85" t="s">
        <v>23</v>
      </c>
      <c r="G264" s="76" t="s">
        <v>25</v>
      </c>
      <c r="H264" s="84" t="s">
        <v>26</v>
      </c>
      <c r="I264" s="87" t="s">
        <v>514</v>
      </c>
      <c r="J264" s="88" t="s">
        <v>1222</v>
      </c>
      <c r="K264" s="76" t="s">
        <v>29</v>
      </c>
      <c r="L264" s="84" t="s">
        <v>30</v>
      </c>
      <c r="M264" s="84" t="s">
        <v>31</v>
      </c>
      <c r="N264" s="430">
        <v>1401817751</v>
      </c>
      <c r="O264" s="430"/>
      <c r="P264" s="430"/>
      <c r="Q264" s="430"/>
      <c r="R264" s="430"/>
      <c r="S264" s="77"/>
      <c r="T264" s="83"/>
      <c r="U264" s="79"/>
      <c r="V264" s="84" t="s">
        <v>516</v>
      </c>
      <c r="W264" s="84" t="s">
        <v>1223</v>
      </c>
      <c r="X264" s="84" t="s">
        <v>1224</v>
      </c>
      <c r="Y264" s="85">
        <v>109</v>
      </c>
      <c r="Z264" s="82">
        <v>0</v>
      </c>
      <c r="AA264" s="85">
        <v>88</v>
      </c>
      <c r="AB264" s="89">
        <v>20.45</v>
      </c>
    </row>
    <row r="265" spans="1:28" s="431" customFormat="1" x14ac:dyDescent="0.25">
      <c r="A265" s="461"/>
      <c r="B265" s="76" t="s">
        <v>153</v>
      </c>
      <c r="C265" s="77">
        <v>7</v>
      </c>
      <c r="D265" s="78">
        <v>100675821</v>
      </c>
      <c r="E265" s="77" t="s">
        <v>23</v>
      </c>
      <c r="F265" s="77" t="s">
        <v>35</v>
      </c>
      <c r="G265" s="83" t="s">
        <v>25</v>
      </c>
      <c r="H265" s="79" t="s">
        <v>73</v>
      </c>
      <c r="I265" s="80" t="s">
        <v>1225</v>
      </c>
      <c r="J265" s="81" t="s">
        <v>1226</v>
      </c>
      <c r="K265" s="83" t="s">
        <v>29</v>
      </c>
      <c r="L265" s="79"/>
      <c r="M265" s="79" t="s">
        <v>51</v>
      </c>
      <c r="N265" s="430"/>
      <c r="O265" s="430"/>
      <c r="P265" s="430"/>
      <c r="Q265" s="430"/>
      <c r="R265" s="430"/>
      <c r="S265" s="77"/>
      <c r="T265" s="83"/>
      <c r="U265" s="79"/>
      <c r="V265" s="79" t="s">
        <v>238</v>
      </c>
      <c r="W265" s="79" t="s">
        <v>1227</v>
      </c>
      <c r="X265" s="79" t="s">
        <v>1228</v>
      </c>
      <c r="Y265" s="77">
        <v>144</v>
      </c>
      <c r="Z265" s="82">
        <v>0</v>
      </c>
      <c r="AA265" s="77">
        <v>108</v>
      </c>
      <c r="AB265" s="82">
        <v>24.07</v>
      </c>
    </row>
    <row r="266" spans="1:28" s="431" customFormat="1" x14ac:dyDescent="0.25">
      <c r="A266" s="461"/>
      <c r="B266" s="76" t="s">
        <v>153</v>
      </c>
      <c r="C266" s="77">
        <v>7</v>
      </c>
      <c r="D266" s="78">
        <v>138596071</v>
      </c>
      <c r="E266" s="77" t="s">
        <v>24</v>
      </c>
      <c r="F266" s="77"/>
      <c r="G266" s="83" t="s">
        <v>61</v>
      </c>
      <c r="H266" s="79" t="s">
        <v>565</v>
      </c>
      <c r="I266" s="80" t="s">
        <v>1229</v>
      </c>
      <c r="J266" s="81" t="s">
        <v>485</v>
      </c>
      <c r="K266" s="83" t="s">
        <v>485</v>
      </c>
      <c r="L266" s="79"/>
      <c r="M266" s="79"/>
      <c r="N266" s="430"/>
      <c r="O266" s="430"/>
      <c r="P266" s="430"/>
      <c r="Q266" s="430"/>
      <c r="R266" s="430"/>
      <c r="S266" s="77"/>
      <c r="T266" s="83"/>
      <c r="U266" s="79"/>
      <c r="V266" s="79" t="s">
        <v>1230</v>
      </c>
      <c r="W266" s="79" t="s">
        <v>1231</v>
      </c>
      <c r="X266" s="79" t="s">
        <v>1232</v>
      </c>
      <c r="Y266" s="77">
        <v>174</v>
      </c>
      <c r="Z266" s="82">
        <v>0</v>
      </c>
      <c r="AA266" s="77">
        <v>103</v>
      </c>
      <c r="AB266" s="82">
        <v>18.45</v>
      </c>
    </row>
    <row r="267" spans="1:28" s="431" customFormat="1" x14ac:dyDescent="0.25">
      <c r="A267" s="461"/>
      <c r="B267" s="76" t="s">
        <v>153</v>
      </c>
      <c r="C267" s="77">
        <v>8</v>
      </c>
      <c r="D267" s="78">
        <v>10584111</v>
      </c>
      <c r="E267" s="77" t="s">
        <v>43</v>
      </c>
      <c r="F267" s="77" t="s">
        <v>35</v>
      </c>
      <c r="G267" s="83" t="s">
        <v>25</v>
      </c>
      <c r="H267" s="79" t="s">
        <v>26</v>
      </c>
      <c r="I267" s="80" t="s">
        <v>1233</v>
      </c>
      <c r="J267" s="81" t="s">
        <v>1234</v>
      </c>
      <c r="K267" s="83" t="s">
        <v>29</v>
      </c>
      <c r="L267" s="79" t="s">
        <v>30</v>
      </c>
      <c r="M267" s="79" t="s">
        <v>56</v>
      </c>
      <c r="N267" s="430"/>
      <c r="O267" s="430"/>
      <c r="P267" s="430"/>
      <c r="Q267" s="430"/>
      <c r="R267" s="430"/>
      <c r="S267" s="77"/>
      <c r="T267" s="83"/>
      <c r="U267" s="79"/>
      <c r="V267" s="79" t="s">
        <v>1235</v>
      </c>
      <c r="W267" s="79" t="s">
        <v>1236</v>
      </c>
      <c r="X267" s="79" t="s">
        <v>1237</v>
      </c>
      <c r="Y267" s="77">
        <v>103</v>
      </c>
      <c r="Z267" s="82">
        <v>0</v>
      </c>
      <c r="AA267" s="77">
        <v>126</v>
      </c>
      <c r="AB267" s="82">
        <v>15.87</v>
      </c>
    </row>
    <row r="268" spans="1:28" s="431" customFormat="1" x14ac:dyDescent="0.25">
      <c r="A268" s="461"/>
      <c r="B268" s="76" t="s">
        <v>153</v>
      </c>
      <c r="C268" s="77">
        <v>8</v>
      </c>
      <c r="D268" s="78">
        <v>17094779</v>
      </c>
      <c r="E268" s="77" t="s">
        <v>43</v>
      </c>
      <c r="F268" s="77" t="s">
        <v>24</v>
      </c>
      <c r="G268" s="83" t="s">
        <v>25</v>
      </c>
      <c r="H268" s="79" t="s">
        <v>26</v>
      </c>
      <c r="I268" s="80" t="s">
        <v>1238</v>
      </c>
      <c r="J268" s="81" t="s">
        <v>1239</v>
      </c>
      <c r="K268" s="83" t="s">
        <v>29</v>
      </c>
      <c r="L268" s="79" t="s">
        <v>30</v>
      </c>
      <c r="M268" s="79" t="s">
        <v>56</v>
      </c>
      <c r="N268" s="430"/>
      <c r="O268" s="430"/>
      <c r="P268" s="430"/>
      <c r="Q268" s="430"/>
      <c r="R268" s="430"/>
      <c r="S268" s="77"/>
      <c r="T268" s="83"/>
      <c r="U268" s="79"/>
      <c r="V268" s="79" t="s">
        <v>924</v>
      </c>
      <c r="W268" s="79" t="s">
        <v>1240</v>
      </c>
      <c r="X268" s="79" t="s">
        <v>1241</v>
      </c>
      <c r="Y268" s="77">
        <v>143</v>
      </c>
      <c r="Z268" s="82">
        <v>0</v>
      </c>
      <c r="AA268" s="77">
        <v>135</v>
      </c>
      <c r="AB268" s="82">
        <v>22.22</v>
      </c>
    </row>
    <row r="269" spans="1:28" s="431" customFormat="1" x14ac:dyDescent="0.25">
      <c r="A269" s="461"/>
      <c r="B269" s="76" t="s">
        <v>153</v>
      </c>
      <c r="C269" s="77">
        <v>8</v>
      </c>
      <c r="D269" s="78">
        <v>55541294</v>
      </c>
      <c r="E269" s="77" t="s">
        <v>35</v>
      </c>
      <c r="F269" s="77" t="s">
        <v>43</v>
      </c>
      <c r="G269" s="83" t="s">
        <v>25</v>
      </c>
      <c r="H269" s="79" t="s">
        <v>26</v>
      </c>
      <c r="I269" s="80" t="s">
        <v>1242</v>
      </c>
      <c r="J269" s="81" t="s">
        <v>1243</v>
      </c>
      <c r="K269" s="83" t="s">
        <v>29</v>
      </c>
      <c r="L269" s="79" t="s">
        <v>39</v>
      </c>
      <c r="M269" s="79" t="s">
        <v>51</v>
      </c>
      <c r="N269" s="430"/>
      <c r="O269" s="430"/>
      <c r="P269" s="430"/>
      <c r="Q269" s="430"/>
      <c r="R269" s="430"/>
      <c r="S269" s="77"/>
      <c r="T269" s="83"/>
      <c r="U269" s="79"/>
      <c r="V269" s="79" t="s">
        <v>299</v>
      </c>
      <c r="W269" s="79" t="s">
        <v>1244</v>
      </c>
      <c r="X269" s="79" t="s">
        <v>1245</v>
      </c>
      <c r="Y269" s="77">
        <v>124</v>
      </c>
      <c r="Z269" s="82">
        <v>0</v>
      </c>
      <c r="AA269" s="77">
        <v>130</v>
      </c>
      <c r="AB269" s="82">
        <v>23.08</v>
      </c>
    </row>
    <row r="270" spans="1:28" s="431" customFormat="1" x14ac:dyDescent="0.25">
      <c r="A270" s="461"/>
      <c r="B270" s="76" t="s">
        <v>153</v>
      </c>
      <c r="C270" s="77">
        <v>8</v>
      </c>
      <c r="D270" s="78">
        <v>125083834</v>
      </c>
      <c r="E270" s="77" t="s">
        <v>23</v>
      </c>
      <c r="F270" s="77" t="s">
        <v>35</v>
      </c>
      <c r="G270" s="83" t="s">
        <v>25</v>
      </c>
      <c r="H270" s="79" t="s">
        <v>26</v>
      </c>
      <c r="I270" s="80" t="s">
        <v>1246</v>
      </c>
      <c r="J270" s="81" t="s">
        <v>1247</v>
      </c>
      <c r="K270" s="83" t="s">
        <v>29</v>
      </c>
      <c r="L270" s="79" t="s">
        <v>39</v>
      </c>
      <c r="M270" s="79" t="s">
        <v>51</v>
      </c>
      <c r="N270" s="430"/>
      <c r="O270" s="430"/>
      <c r="P270" s="430"/>
      <c r="Q270" s="430"/>
      <c r="R270" s="430"/>
      <c r="S270" s="77"/>
      <c r="T270" s="83"/>
      <c r="U270" s="79"/>
      <c r="V270" s="79" t="s">
        <v>1248</v>
      </c>
      <c r="W270" s="79" t="s">
        <v>1249</v>
      </c>
      <c r="X270" s="79" t="s">
        <v>1250</v>
      </c>
      <c r="Y270" s="77">
        <v>101</v>
      </c>
      <c r="Z270" s="82">
        <v>0</v>
      </c>
      <c r="AA270" s="77">
        <v>132</v>
      </c>
      <c r="AB270" s="82">
        <v>11.36</v>
      </c>
    </row>
    <row r="271" spans="1:28" s="431" customFormat="1" x14ac:dyDescent="0.25">
      <c r="A271" s="461"/>
      <c r="B271" s="76" t="s">
        <v>153</v>
      </c>
      <c r="C271" s="77">
        <v>9</v>
      </c>
      <c r="D271" s="78">
        <v>104432841</v>
      </c>
      <c r="E271" s="77" t="s">
        <v>23</v>
      </c>
      <c r="F271" s="77" t="s">
        <v>24</v>
      </c>
      <c r="G271" s="83" t="s">
        <v>25</v>
      </c>
      <c r="H271" s="79" t="s">
        <v>26</v>
      </c>
      <c r="I271" s="80" t="s">
        <v>1251</v>
      </c>
      <c r="J271" s="81" t="s">
        <v>1252</v>
      </c>
      <c r="K271" s="83" t="s">
        <v>29</v>
      </c>
      <c r="L271" s="79" t="s">
        <v>30</v>
      </c>
      <c r="M271" s="79" t="s">
        <v>56</v>
      </c>
      <c r="N271" s="430">
        <v>771218564</v>
      </c>
      <c r="O271" s="430"/>
      <c r="P271" s="430"/>
      <c r="Q271" s="430" t="s">
        <v>4181</v>
      </c>
      <c r="R271" s="430" t="s">
        <v>4181</v>
      </c>
      <c r="S271" s="77"/>
      <c r="T271" s="83"/>
      <c r="U271" s="79"/>
      <c r="V271" s="79" t="s">
        <v>979</v>
      </c>
      <c r="W271" s="79" t="s">
        <v>1253</v>
      </c>
      <c r="X271" s="79" t="s">
        <v>1254</v>
      </c>
      <c r="Y271" s="77">
        <v>117</v>
      </c>
      <c r="Z271" s="82">
        <v>0</v>
      </c>
      <c r="AA271" s="77">
        <v>99</v>
      </c>
      <c r="AB271" s="82">
        <v>26.26</v>
      </c>
    </row>
    <row r="272" spans="1:28" s="431" customFormat="1" x14ac:dyDescent="0.25">
      <c r="A272" s="461"/>
      <c r="B272" s="76" t="s">
        <v>153</v>
      </c>
      <c r="C272" s="77">
        <v>9</v>
      </c>
      <c r="D272" s="78">
        <v>138516005</v>
      </c>
      <c r="E272" s="77" t="s">
        <v>23</v>
      </c>
      <c r="F272" s="77" t="s">
        <v>24</v>
      </c>
      <c r="G272" s="83" t="s">
        <v>25</v>
      </c>
      <c r="H272" s="79" t="s">
        <v>26</v>
      </c>
      <c r="I272" s="80" t="s">
        <v>1255</v>
      </c>
      <c r="J272" s="81" t="s">
        <v>1256</v>
      </c>
      <c r="K272" s="83" t="s">
        <v>29</v>
      </c>
      <c r="L272" s="79" t="s">
        <v>39</v>
      </c>
      <c r="M272" s="79" t="s">
        <v>51</v>
      </c>
      <c r="N272" s="430">
        <v>745696333</v>
      </c>
      <c r="O272" s="430"/>
      <c r="P272" s="430"/>
      <c r="Q272" s="430" t="s">
        <v>4181</v>
      </c>
      <c r="R272" s="430"/>
      <c r="S272" s="77"/>
      <c r="T272" s="83"/>
      <c r="U272" s="79"/>
      <c r="V272" s="79" t="s">
        <v>1257</v>
      </c>
      <c r="W272" s="79" t="s">
        <v>1258</v>
      </c>
      <c r="X272" s="79" t="s">
        <v>1259</v>
      </c>
      <c r="Y272" s="77">
        <v>112</v>
      </c>
      <c r="Z272" s="82">
        <v>0</v>
      </c>
      <c r="AA272" s="77">
        <v>74</v>
      </c>
      <c r="AB272" s="82">
        <v>24.32</v>
      </c>
    </row>
    <row r="273" spans="1:28" s="431" customFormat="1" x14ac:dyDescent="0.25">
      <c r="A273" s="461"/>
      <c r="B273" s="76" t="s">
        <v>153</v>
      </c>
      <c r="C273" s="77">
        <v>11</v>
      </c>
      <c r="D273" s="78">
        <v>121420788</v>
      </c>
      <c r="E273" s="77" t="s">
        <v>43</v>
      </c>
      <c r="F273" s="77" t="s">
        <v>24</v>
      </c>
      <c r="G273" s="83" t="s">
        <v>25</v>
      </c>
      <c r="H273" s="79" t="s">
        <v>26</v>
      </c>
      <c r="I273" s="80" t="s">
        <v>1260</v>
      </c>
      <c r="J273" s="81" t="s">
        <v>1261</v>
      </c>
      <c r="K273" s="83" t="s">
        <v>29</v>
      </c>
      <c r="L273" s="79"/>
      <c r="M273" s="79" t="s">
        <v>51</v>
      </c>
      <c r="N273" s="430"/>
      <c r="O273" s="430"/>
      <c r="P273" s="430"/>
      <c r="Q273" s="430"/>
      <c r="R273" s="430"/>
      <c r="S273" s="77"/>
      <c r="T273" s="83"/>
      <c r="U273" s="79"/>
      <c r="V273" s="79" t="s">
        <v>686</v>
      </c>
      <c r="W273" s="79" t="s">
        <v>1262</v>
      </c>
      <c r="X273" s="79" t="s">
        <v>1263</v>
      </c>
      <c r="Y273" s="77">
        <v>85</v>
      </c>
      <c r="Z273" s="82">
        <v>0</v>
      </c>
      <c r="AA273" s="77">
        <v>59</v>
      </c>
      <c r="AB273" s="82">
        <v>28.81</v>
      </c>
    </row>
    <row r="274" spans="1:28" s="431" customFormat="1" x14ac:dyDescent="0.25">
      <c r="A274" s="461"/>
      <c r="B274" s="76" t="s">
        <v>153</v>
      </c>
      <c r="C274" s="77">
        <v>12</v>
      </c>
      <c r="D274" s="78">
        <v>109719438</v>
      </c>
      <c r="E274" s="77" t="s">
        <v>23</v>
      </c>
      <c r="F274" s="77"/>
      <c r="G274" s="83" t="s">
        <v>61</v>
      </c>
      <c r="H274" s="79" t="s">
        <v>26</v>
      </c>
      <c r="I274" s="80" t="s">
        <v>1264</v>
      </c>
      <c r="J274" s="81" t="s">
        <v>1265</v>
      </c>
      <c r="K274" s="83" t="s">
        <v>81</v>
      </c>
      <c r="L274" s="79"/>
      <c r="M274" s="79"/>
      <c r="N274" s="430"/>
      <c r="O274" s="430"/>
      <c r="P274" s="430"/>
      <c r="Q274" s="430"/>
      <c r="R274" s="430"/>
      <c r="S274" s="77"/>
      <c r="T274" s="83"/>
      <c r="U274" s="79"/>
      <c r="V274" s="79" t="s">
        <v>1150</v>
      </c>
      <c r="W274" s="79" t="s">
        <v>1266</v>
      </c>
      <c r="X274" s="79" t="s">
        <v>1267</v>
      </c>
      <c r="Y274" s="77">
        <v>84</v>
      </c>
      <c r="Z274" s="82">
        <v>0</v>
      </c>
      <c r="AA274" s="77">
        <v>61</v>
      </c>
      <c r="AB274" s="82">
        <v>22.95</v>
      </c>
    </row>
    <row r="275" spans="1:28" s="431" customFormat="1" x14ac:dyDescent="0.25">
      <c r="A275" s="461"/>
      <c r="B275" s="76" t="s">
        <v>153</v>
      </c>
      <c r="C275" s="77">
        <v>12</v>
      </c>
      <c r="D275" s="78">
        <v>110032947</v>
      </c>
      <c r="E275" s="77" t="s">
        <v>43</v>
      </c>
      <c r="F275" s="77" t="s">
        <v>35</v>
      </c>
      <c r="G275" s="83" t="s">
        <v>25</v>
      </c>
      <c r="H275" s="79" t="s">
        <v>26</v>
      </c>
      <c r="I275" s="80" t="s">
        <v>1268</v>
      </c>
      <c r="J275" s="81" t="s">
        <v>1269</v>
      </c>
      <c r="K275" s="83" t="s">
        <v>29</v>
      </c>
      <c r="L275" s="79" t="s">
        <v>30</v>
      </c>
      <c r="M275" s="79" t="s">
        <v>56</v>
      </c>
      <c r="N275" s="430">
        <v>104895317</v>
      </c>
      <c r="O275" s="430"/>
      <c r="P275" s="430"/>
      <c r="Q275" s="430" t="s">
        <v>4201</v>
      </c>
      <c r="R275" s="430" t="s">
        <v>4202</v>
      </c>
      <c r="S275" s="77"/>
      <c r="T275" s="83"/>
      <c r="U275" s="79"/>
      <c r="V275" s="79" t="s">
        <v>1150</v>
      </c>
      <c r="W275" s="79" t="s">
        <v>1270</v>
      </c>
      <c r="X275" s="79" t="s">
        <v>1271</v>
      </c>
      <c r="Y275" s="77">
        <v>100</v>
      </c>
      <c r="Z275" s="82">
        <v>0</v>
      </c>
      <c r="AA275" s="77">
        <v>73</v>
      </c>
      <c r="AB275" s="82">
        <v>31.51</v>
      </c>
    </row>
    <row r="276" spans="1:28" s="431" customFormat="1" x14ac:dyDescent="0.25">
      <c r="A276" s="461"/>
      <c r="B276" s="76" t="s">
        <v>153</v>
      </c>
      <c r="C276" s="77">
        <v>14</v>
      </c>
      <c r="D276" s="78">
        <v>105420458</v>
      </c>
      <c r="E276" s="77" t="s">
        <v>43</v>
      </c>
      <c r="F276" s="77" t="s">
        <v>35</v>
      </c>
      <c r="G276" s="83" t="s">
        <v>25</v>
      </c>
      <c r="H276" s="79" t="s">
        <v>26</v>
      </c>
      <c r="I276" s="80" t="s">
        <v>1272</v>
      </c>
      <c r="J276" s="81" t="s">
        <v>1273</v>
      </c>
      <c r="K276" s="83" t="s">
        <v>29</v>
      </c>
      <c r="L276" s="79" t="s">
        <v>39</v>
      </c>
      <c r="M276" s="79" t="s">
        <v>51</v>
      </c>
      <c r="N276" s="430"/>
      <c r="O276" s="430"/>
      <c r="P276" s="430"/>
      <c r="Q276" s="430"/>
      <c r="R276" s="430"/>
      <c r="S276" s="77"/>
      <c r="T276" s="83"/>
      <c r="U276" s="79"/>
      <c r="V276" s="79" t="s">
        <v>1274</v>
      </c>
      <c r="W276" s="79" t="s">
        <v>1275</v>
      </c>
      <c r="X276" s="79" t="s">
        <v>1276</v>
      </c>
      <c r="Y276" s="77">
        <v>76</v>
      </c>
      <c r="Z276" s="82">
        <v>0</v>
      </c>
      <c r="AA276" s="77">
        <v>60</v>
      </c>
      <c r="AB276" s="82">
        <v>25</v>
      </c>
    </row>
    <row r="277" spans="1:28" s="431" customFormat="1" x14ac:dyDescent="0.25">
      <c r="A277" s="461"/>
      <c r="B277" s="76" t="s">
        <v>153</v>
      </c>
      <c r="C277" s="77">
        <v>14</v>
      </c>
      <c r="D277" s="78">
        <v>105612966</v>
      </c>
      <c r="E277" s="77" t="s">
        <v>23</v>
      </c>
      <c r="F277" s="77" t="s">
        <v>35</v>
      </c>
      <c r="G277" s="83" t="s">
        <v>25</v>
      </c>
      <c r="H277" s="79" t="s">
        <v>26</v>
      </c>
      <c r="I277" s="80" t="s">
        <v>1277</v>
      </c>
      <c r="J277" s="81" t="s">
        <v>1278</v>
      </c>
      <c r="K277" s="83" t="s">
        <v>29</v>
      </c>
      <c r="L277" s="79" t="s">
        <v>30</v>
      </c>
      <c r="M277" s="79" t="s">
        <v>56</v>
      </c>
      <c r="N277" s="430"/>
      <c r="O277" s="430"/>
      <c r="P277" s="430"/>
      <c r="Q277" s="430"/>
      <c r="R277" s="430"/>
      <c r="S277" s="77"/>
      <c r="T277" s="83"/>
      <c r="U277" s="79"/>
      <c r="V277" s="79" t="s">
        <v>1274</v>
      </c>
      <c r="W277" s="79" t="s">
        <v>1279</v>
      </c>
      <c r="X277" s="79" t="s">
        <v>1280</v>
      </c>
      <c r="Y277" s="77">
        <v>94</v>
      </c>
      <c r="Z277" s="82">
        <v>0</v>
      </c>
      <c r="AA277" s="77">
        <v>80</v>
      </c>
      <c r="AB277" s="82">
        <v>22.5</v>
      </c>
    </row>
    <row r="278" spans="1:28" s="431" customFormat="1" x14ac:dyDescent="0.25">
      <c r="A278" s="461"/>
      <c r="B278" s="76" t="s">
        <v>153</v>
      </c>
      <c r="C278" s="77">
        <v>15</v>
      </c>
      <c r="D278" s="78">
        <v>45697585</v>
      </c>
      <c r="E278" s="77" t="s">
        <v>1281</v>
      </c>
      <c r="F278" s="77"/>
      <c r="G278" s="83" t="s">
        <v>61</v>
      </c>
      <c r="H278" s="79" t="s">
        <v>168</v>
      </c>
      <c r="I278" s="80" t="s">
        <v>1282</v>
      </c>
      <c r="J278" s="81" t="s">
        <v>1283</v>
      </c>
      <c r="K278" s="83" t="s">
        <v>81</v>
      </c>
      <c r="L278" s="79"/>
      <c r="M278" s="79"/>
      <c r="N278" s="430"/>
      <c r="O278" s="430"/>
      <c r="P278" s="430"/>
      <c r="Q278" s="430"/>
      <c r="R278" s="430"/>
      <c r="S278" s="77"/>
      <c r="T278" s="83"/>
      <c r="U278" s="79"/>
      <c r="V278" s="79" t="s">
        <v>752</v>
      </c>
      <c r="W278" s="79" t="s">
        <v>1284</v>
      </c>
      <c r="X278" s="79" t="s">
        <v>1285</v>
      </c>
      <c r="Y278" s="77">
        <v>47</v>
      </c>
      <c r="Z278" s="82">
        <v>0</v>
      </c>
      <c r="AA278" s="77">
        <v>75</v>
      </c>
      <c r="AB278" s="82">
        <v>34.67</v>
      </c>
    </row>
    <row r="279" spans="1:28" s="431" customFormat="1" x14ac:dyDescent="0.25">
      <c r="A279" s="461"/>
      <c r="B279" s="76" t="s">
        <v>153</v>
      </c>
      <c r="C279" s="77">
        <v>17</v>
      </c>
      <c r="D279" s="78">
        <v>5039130</v>
      </c>
      <c r="E279" s="77" t="s">
        <v>23</v>
      </c>
      <c r="F279" s="77" t="s">
        <v>35</v>
      </c>
      <c r="G279" s="83" t="s">
        <v>25</v>
      </c>
      <c r="H279" s="79" t="s">
        <v>26</v>
      </c>
      <c r="I279" s="80" t="s">
        <v>1286</v>
      </c>
      <c r="J279" s="81" t="s">
        <v>1287</v>
      </c>
      <c r="K279" s="83" t="s">
        <v>29</v>
      </c>
      <c r="L279" s="79"/>
      <c r="M279" s="79" t="s">
        <v>51</v>
      </c>
      <c r="N279" s="430"/>
      <c r="O279" s="430"/>
      <c r="P279" s="430"/>
      <c r="Q279" s="430"/>
      <c r="R279" s="430"/>
      <c r="S279" s="77"/>
      <c r="T279" s="83"/>
      <c r="U279" s="79"/>
      <c r="V279" s="79" t="s">
        <v>32</v>
      </c>
      <c r="W279" s="79" t="s">
        <v>1288</v>
      </c>
      <c r="X279" s="79" t="s">
        <v>1289</v>
      </c>
      <c r="Y279" s="77">
        <v>38</v>
      </c>
      <c r="Z279" s="82">
        <v>0</v>
      </c>
      <c r="AA279" s="77">
        <v>62</v>
      </c>
      <c r="AB279" s="82">
        <v>27.42</v>
      </c>
    </row>
    <row r="280" spans="1:28" s="431" customFormat="1" x14ac:dyDescent="0.25">
      <c r="A280" s="461"/>
      <c r="B280" s="76" t="s">
        <v>153</v>
      </c>
      <c r="C280" s="77">
        <v>17</v>
      </c>
      <c r="D280" s="78">
        <v>73502941</v>
      </c>
      <c r="E280" s="77" t="s">
        <v>23</v>
      </c>
      <c r="F280" s="77" t="s">
        <v>24</v>
      </c>
      <c r="G280" s="83" t="s">
        <v>25</v>
      </c>
      <c r="H280" s="79" t="s">
        <v>26</v>
      </c>
      <c r="I280" s="80" t="s">
        <v>1290</v>
      </c>
      <c r="J280" s="81" t="s">
        <v>1291</v>
      </c>
      <c r="K280" s="83" t="s">
        <v>29</v>
      </c>
      <c r="L280" s="79" t="s">
        <v>30</v>
      </c>
      <c r="M280" s="79" t="s">
        <v>56</v>
      </c>
      <c r="N280" s="430"/>
      <c r="O280" s="430"/>
      <c r="P280" s="430"/>
      <c r="Q280" s="430"/>
      <c r="R280" s="430"/>
      <c r="S280" s="77"/>
      <c r="T280" s="83"/>
      <c r="U280" s="79"/>
      <c r="V280" s="79" t="s">
        <v>82</v>
      </c>
      <c r="W280" s="79" t="s">
        <v>1292</v>
      </c>
      <c r="X280" s="79" t="s">
        <v>1293</v>
      </c>
      <c r="Y280" s="77">
        <v>78</v>
      </c>
      <c r="Z280" s="82">
        <v>0</v>
      </c>
      <c r="AA280" s="77">
        <v>97</v>
      </c>
      <c r="AB280" s="82">
        <v>21.65</v>
      </c>
    </row>
    <row r="281" spans="1:28" s="431" customFormat="1" x14ac:dyDescent="0.25">
      <c r="A281" s="461"/>
      <c r="B281" s="76" t="s">
        <v>153</v>
      </c>
      <c r="C281" s="77">
        <v>19</v>
      </c>
      <c r="D281" s="78">
        <v>10625660</v>
      </c>
      <c r="E281" s="77" t="s">
        <v>43</v>
      </c>
      <c r="F281" s="77" t="s">
        <v>24</v>
      </c>
      <c r="G281" s="83" t="s">
        <v>25</v>
      </c>
      <c r="H281" s="79" t="s">
        <v>26</v>
      </c>
      <c r="I281" s="80" t="s">
        <v>1294</v>
      </c>
      <c r="J281" s="81" t="s">
        <v>1295</v>
      </c>
      <c r="K281" s="83" t="s">
        <v>29</v>
      </c>
      <c r="L281" s="79" t="s">
        <v>39</v>
      </c>
      <c r="M281" s="79" t="s">
        <v>51</v>
      </c>
      <c r="N281" s="430"/>
      <c r="O281" s="430"/>
      <c r="P281" s="430"/>
      <c r="Q281" s="430"/>
      <c r="R281" s="430"/>
      <c r="S281" s="77"/>
      <c r="T281" s="83"/>
      <c r="U281" s="79"/>
      <c r="V281" s="79" t="s">
        <v>32</v>
      </c>
      <c r="W281" s="79" t="s">
        <v>1296</v>
      </c>
      <c r="X281" s="79" t="s">
        <v>1297</v>
      </c>
      <c r="Y281" s="77">
        <v>79</v>
      </c>
      <c r="Z281" s="82">
        <v>0</v>
      </c>
      <c r="AA281" s="77">
        <v>76</v>
      </c>
      <c r="AB281" s="82">
        <v>18.420000000000002</v>
      </c>
    </row>
    <row r="282" spans="1:28" s="431" customFormat="1" x14ac:dyDescent="0.25">
      <c r="A282" s="461"/>
      <c r="B282" s="76" t="s">
        <v>153</v>
      </c>
      <c r="C282" s="77">
        <v>19</v>
      </c>
      <c r="D282" s="78">
        <v>18943200</v>
      </c>
      <c r="E282" s="77" t="s">
        <v>43</v>
      </c>
      <c r="F282" s="77" t="s">
        <v>35</v>
      </c>
      <c r="G282" s="83" t="s">
        <v>25</v>
      </c>
      <c r="H282" s="79" t="s">
        <v>26</v>
      </c>
      <c r="I282" s="80" t="s">
        <v>1298</v>
      </c>
      <c r="J282" s="81" t="s">
        <v>1299</v>
      </c>
      <c r="K282" s="83" t="s">
        <v>29</v>
      </c>
      <c r="L282" s="79" t="s">
        <v>39</v>
      </c>
      <c r="M282" s="79" t="s">
        <v>51</v>
      </c>
      <c r="N282" s="430"/>
      <c r="O282" s="430"/>
      <c r="P282" s="430"/>
      <c r="Q282" s="430"/>
      <c r="R282" s="430"/>
      <c r="S282" s="77"/>
      <c r="T282" s="83"/>
      <c r="U282" s="79"/>
      <c r="V282" s="79" t="s">
        <v>735</v>
      </c>
      <c r="W282" s="79" t="s">
        <v>1300</v>
      </c>
      <c r="X282" s="79" t="s">
        <v>1301</v>
      </c>
      <c r="Y282" s="77">
        <v>75</v>
      </c>
      <c r="Z282" s="82">
        <v>0</v>
      </c>
      <c r="AA282" s="77">
        <v>59</v>
      </c>
      <c r="AB282" s="82">
        <v>15.25</v>
      </c>
    </row>
    <row r="283" spans="1:28" s="431" customFormat="1" x14ac:dyDescent="0.25">
      <c r="A283" s="461"/>
      <c r="B283" s="76" t="s">
        <v>153</v>
      </c>
      <c r="C283" s="77">
        <v>19</v>
      </c>
      <c r="D283" s="78">
        <v>43689299</v>
      </c>
      <c r="E283" s="77" t="s">
        <v>43</v>
      </c>
      <c r="F283" s="77" t="s">
        <v>24</v>
      </c>
      <c r="G283" s="83" t="s">
        <v>25</v>
      </c>
      <c r="H283" s="79" t="s">
        <v>26</v>
      </c>
      <c r="I283" s="80" t="s">
        <v>1302</v>
      </c>
      <c r="J283" s="81" t="s">
        <v>1303</v>
      </c>
      <c r="K283" s="83" t="s">
        <v>29</v>
      </c>
      <c r="L283" s="79" t="s">
        <v>30</v>
      </c>
      <c r="M283" s="79" t="s">
        <v>56</v>
      </c>
      <c r="N283" s="430"/>
      <c r="O283" s="430"/>
      <c r="P283" s="430"/>
      <c r="Q283" s="430"/>
      <c r="R283" s="430"/>
      <c r="S283" s="77"/>
      <c r="T283" s="83"/>
      <c r="U283" s="79"/>
      <c r="V283" s="79" t="s">
        <v>496</v>
      </c>
      <c r="W283" s="79" t="s">
        <v>1304</v>
      </c>
      <c r="X283" s="79" t="s">
        <v>1305</v>
      </c>
      <c r="Y283" s="77">
        <v>85</v>
      </c>
      <c r="Z283" s="82">
        <v>0</v>
      </c>
      <c r="AA283" s="77">
        <v>79</v>
      </c>
      <c r="AB283" s="82">
        <v>25.32</v>
      </c>
    </row>
    <row r="284" spans="1:28" s="431" customFormat="1" x14ac:dyDescent="0.25">
      <c r="A284" s="461"/>
      <c r="B284" s="76" t="s">
        <v>153</v>
      </c>
      <c r="C284" s="77">
        <v>19</v>
      </c>
      <c r="D284" s="78">
        <v>45871946</v>
      </c>
      <c r="E284" s="77" t="s">
        <v>24</v>
      </c>
      <c r="F284" s="77" t="s">
        <v>35</v>
      </c>
      <c r="G284" s="83" t="s">
        <v>25</v>
      </c>
      <c r="H284" s="79" t="s">
        <v>26</v>
      </c>
      <c r="I284" s="80" t="s">
        <v>1306</v>
      </c>
      <c r="J284" s="81" t="s">
        <v>1307</v>
      </c>
      <c r="K284" s="83" t="s">
        <v>29</v>
      </c>
      <c r="L284" s="79" t="s">
        <v>39</v>
      </c>
      <c r="M284" s="79" t="s">
        <v>51</v>
      </c>
      <c r="N284" s="430"/>
      <c r="O284" s="430"/>
      <c r="P284" s="430"/>
      <c r="Q284" s="430"/>
      <c r="R284" s="430"/>
      <c r="S284" s="77"/>
      <c r="T284" s="83"/>
      <c r="U284" s="79"/>
      <c r="V284" s="79" t="s">
        <v>789</v>
      </c>
      <c r="W284" s="79" t="s">
        <v>1308</v>
      </c>
      <c r="X284" s="79" t="s">
        <v>1309</v>
      </c>
      <c r="Y284" s="77">
        <v>86</v>
      </c>
      <c r="Z284" s="82">
        <v>0</v>
      </c>
      <c r="AA284" s="77">
        <v>88</v>
      </c>
      <c r="AB284" s="82">
        <v>30.68</v>
      </c>
    </row>
    <row r="285" spans="1:28" s="431" customFormat="1" x14ac:dyDescent="0.25">
      <c r="A285" s="461"/>
      <c r="B285" s="76" t="s">
        <v>153</v>
      </c>
      <c r="C285" s="77">
        <v>19</v>
      </c>
      <c r="D285" s="78">
        <v>50100484</v>
      </c>
      <c r="E285" s="77" t="s">
        <v>43</v>
      </c>
      <c r="F285" s="77" t="s">
        <v>24</v>
      </c>
      <c r="G285" s="83" t="s">
        <v>25</v>
      </c>
      <c r="H285" s="79" t="s">
        <v>26</v>
      </c>
      <c r="I285" s="80" t="s">
        <v>1105</v>
      </c>
      <c r="J285" s="81" t="s">
        <v>1310</v>
      </c>
      <c r="K285" s="83" t="s">
        <v>29</v>
      </c>
      <c r="L285" s="79" t="s">
        <v>39</v>
      </c>
      <c r="M285" s="79" t="s">
        <v>31</v>
      </c>
      <c r="N285" s="430"/>
      <c r="O285" s="430"/>
      <c r="P285" s="430"/>
      <c r="Q285" s="430"/>
      <c r="R285" s="430"/>
      <c r="S285" s="77"/>
      <c r="T285" s="83"/>
      <c r="U285" s="79"/>
      <c r="V285" s="79" t="s">
        <v>798</v>
      </c>
      <c r="W285" s="79" t="s">
        <v>1107</v>
      </c>
      <c r="X285" s="79" t="s">
        <v>1311</v>
      </c>
      <c r="Y285" s="77">
        <v>88</v>
      </c>
      <c r="Z285" s="82">
        <v>0</v>
      </c>
      <c r="AA285" s="77">
        <v>72</v>
      </c>
      <c r="AB285" s="82">
        <v>23.61</v>
      </c>
    </row>
    <row r="286" spans="1:28" s="451" customFormat="1" ht="15.75" thickBot="1" x14ac:dyDescent="0.3">
      <c r="A286" s="461"/>
      <c r="B286" s="446" t="s">
        <v>153</v>
      </c>
      <c r="C286" s="206" t="s">
        <v>379</v>
      </c>
      <c r="D286" s="447">
        <v>134709048</v>
      </c>
      <c r="E286" s="206" t="s">
        <v>35</v>
      </c>
      <c r="F286" s="206" t="s">
        <v>43</v>
      </c>
      <c r="G286" s="448" t="s">
        <v>25</v>
      </c>
      <c r="H286" s="449" t="s">
        <v>26</v>
      </c>
      <c r="I286" s="326" t="s">
        <v>1312</v>
      </c>
      <c r="J286" s="450" t="s">
        <v>1313</v>
      </c>
      <c r="K286" s="448" t="s">
        <v>29</v>
      </c>
      <c r="L286" s="449" t="s">
        <v>30</v>
      </c>
      <c r="M286" s="449" t="s">
        <v>56</v>
      </c>
      <c r="S286" s="206"/>
      <c r="T286" s="448"/>
      <c r="U286" s="449"/>
      <c r="V286" s="449" t="s">
        <v>1314</v>
      </c>
      <c r="W286" s="449" t="s">
        <v>1315</v>
      </c>
      <c r="X286" s="449" t="s">
        <v>1316</v>
      </c>
      <c r="Y286" s="206">
        <v>61</v>
      </c>
      <c r="Z286" s="206">
        <v>0</v>
      </c>
      <c r="AA286" s="206">
        <v>43</v>
      </c>
      <c r="AB286" s="206">
        <v>46.51</v>
      </c>
    </row>
    <row r="287" spans="1:28" s="433" customFormat="1" ht="15" customHeight="1" x14ac:dyDescent="0.25">
      <c r="A287" s="460" t="s">
        <v>4150</v>
      </c>
      <c r="B287" s="90" t="s">
        <v>22</v>
      </c>
      <c r="C287" s="91">
        <v>2</v>
      </c>
      <c r="D287" s="92">
        <v>37465012</v>
      </c>
      <c r="E287" s="91" t="s">
        <v>24</v>
      </c>
      <c r="F287" s="91" t="s">
        <v>23</v>
      </c>
      <c r="G287" s="96" t="s">
        <v>25</v>
      </c>
      <c r="H287" s="90" t="s">
        <v>565</v>
      </c>
      <c r="I287" s="93" t="s">
        <v>1317</v>
      </c>
      <c r="J287" s="94"/>
      <c r="K287" s="90" t="s">
        <v>485</v>
      </c>
      <c r="L287" s="90"/>
      <c r="M287" s="90"/>
      <c r="N287" s="432"/>
      <c r="O287" s="432"/>
      <c r="P287" s="432"/>
      <c r="Q287" s="432"/>
      <c r="R287" s="432"/>
      <c r="S287" s="91"/>
      <c r="T287" s="96"/>
      <c r="U287" s="90"/>
      <c r="V287" s="90" t="s">
        <v>582</v>
      </c>
      <c r="W287" s="90" t="s">
        <v>1318</v>
      </c>
      <c r="X287" s="90" t="s">
        <v>1319</v>
      </c>
      <c r="Y287" s="91">
        <v>26</v>
      </c>
      <c r="Z287" s="95">
        <v>15.38</v>
      </c>
      <c r="AA287" s="91">
        <v>83</v>
      </c>
      <c r="AB287" s="95">
        <v>0</v>
      </c>
    </row>
    <row r="288" spans="1:28" s="433" customFormat="1" x14ac:dyDescent="0.25">
      <c r="A288" s="460"/>
      <c r="B288" s="90" t="s">
        <v>22</v>
      </c>
      <c r="C288" s="91">
        <v>4</v>
      </c>
      <c r="D288" s="92">
        <v>71347457</v>
      </c>
      <c r="E288" s="91" t="s">
        <v>43</v>
      </c>
      <c r="F288" s="91" t="s">
        <v>23</v>
      </c>
      <c r="G288" s="96" t="s">
        <v>25</v>
      </c>
      <c r="H288" s="90" t="s">
        <v>26</v>
      </c>
      <c r="I288" s="93" t="s">
        <v>1320</v>
      </c>
      <c r="J288" s="94" t="s">
        <v>1321</v>
      </c>
      <c r="K288" s="96" t="s">
        <v>29</v>
      </c>
      <c r="L288" s="90" t="s">
        <v>39</v>
      </c>
      <c r="M288" s="90" t="s">
        <v>31</v>
      </c>
      <c r="N288" s="432"/>
      <c r="O288" s="432"/>
      <c r="P288" s="432"/>
      <c r="Q288" s="432"/>
      <c r="R288" s="432"/>
      <c r="S288" s="91"/>
      <c r="T288" s="96"/>
      <c r="U288" s="90"/>
      <c r="V288" s="90" t="s">
        <v>208</v>
      </c>
      <c r="W288" s="90" t="s">
        <v>1322</v>
      </c>
      <c r="X288" s="90" t="s">
        <v>1323</v>
      </c>
      <c r="Y288" s="91">
        <v>54</v>
      </c>
      <c r="Z288" s="95">
        <v>48.15</v>
      </c>
      <c r="AA288" s="91">
        <v>79</v>
      </c>
      <c r="AB288" s="95">
        <v>0</v>
      </c>
    </row>
    <row r="289" spans="1:28" s="433" customFormat="1" x14ac:dyDescent="0.25">
      <c r="A289" s="460"/>
      <c r="B289" s="90" t="s">
        <v>22</v>
      </c>
      <c r="C289" s="91">
        <v>5</v>
      </c>
      <c r="D289" s="92">
        <v>178460334</v>
      </c>
      <c r="E289" s="91" t="s">
        <v>43</v>
      </c>
      <c r="F289" s="91" t="s">
        <v>24</v>
      </c>
      <c r="G289" s="96" t="s">
        <v>25</v>
      </c>
      <c r="H289" s="90" t="s">
        <v>26</v>
      </c>
      <c r="I289" s="93" t="s">
        <v>1324</v>
      </c>
      <c r="J289" s="94" t="s">
        <v>1325</v>
      </c>
      <c r="K289" s="96" t="s">
        <v>29</v>
      </c>
      <c r="L289" s="90" t="s">
        <v>30</v>
      </c>
      <c r="M289" s="90" t="s">
        <v>56</v>
      </c>
      <c r="N289" s="432"/>
      <c r="O289" s="432"/>
      <c r="P289" s="432"/>
      <c r="Q289" s="432"/>
      <c r="R289" s="432"/>
      <c r="S289" s="91"/>
      <c r="T289" s="96"/>
      <c r="U289" s="90"/>
      <c r="V289" s="90" t="s">
        <v>1326</v>
      </c>
      <c r="W289" s="90" t="s">
        <v>1327</v>
      </c>
      <c r="X289" s="90" t="s">
        <v>1328</v>
      </c>
      <c r="Y289" s="91">
        <v>28</v>
      </c>
      <c r="Z289" s="95">
        <v>10.71</v>
      </c>
      <c r="AA289" s="91">
        <v>75</v>
      </c>
      <c r="AB289" s="95">
        <v>0</v>
      </c>
    </row>
    <row r="290" spans="1:28" s="433" customFormat="1" x14ac:dyDescent="0.25">
      <c r="A290" s="460"/>
      <c r="B290" s="90" t="s">
        <v>22</v>
      </c>
      <c r="C290" s="91">
        <v>6</v>
      </c>
      <c r="D290" s="92">
        <v>31545274</v>
      </c>
      <c r="E290" s="91" t="s">
        <v>23</v>
      </c>
      <c r="F290" s="91" t="s">
        <v>35</v>
      </c>
      <c r="G290" s="96" t="s">
        <v>25</v>
      </c>
      <c r="H290" s="90" t="s">
        <v>26</v>
      </c>
      <c r="I290" s="93" t="s">
        <v>1329</v>
      </c>
      <c r="J290" s="94" t="s">
        <v>1330</v>
      </c>
      <c r="K290" s="96" t="s">
        <v>29</v>
      </c>
      <c r="L290" s="90"/>
      <c r="M290" s="90" t="s">
        <v>51</v>
      </c>
      <c r="N290" s="432"/>
      <c r="O290" s="432"/>
      <c r="P290" s="432"/>
      <c r="Q290" s="432"/>
      <c r="R290" s="432"/>
      <c r="S290" s="91"/>
      <c r="T290" s="96"/>
      <c r="U290" s="90"/>
      <c r="V290" s="90" t="s">
        <v>1331</v>
      </c>
      <c r="W290" s="90" t="s">
        <v>1332</v>
      </c>
      <c r="X290" s="90" t="s">
        <v>1333</v>
      </c>
      <c r="Y290" s="91">
        <v>26</v>
      </c>
      <c r="Z290" s="95">
        <v>11.54</v>
      </c>
      <c r="AA290" s="91">
        <v>69</v>
      </c>
      <c r="AB290" s="95">
        <v>0</v>
      </c>
    </row>
    <row r="291" spans="1:28" s="433" customFormat="1" x14ac:dyDescent="0.25">
      <c r="A291" s="460"/>
      <c r="B291" s="90" t="s">
        <v>22</v>
      </c>
      <c r="C291" s="91">
        <v>7</v>
      </c>
      <c r="D291" s="92">
        <v>141731546</v>
      </c>
      <c r="E291" s="91" t="s">
        <v>43</v>
      </c>
      <c r="F291" s="91" t="s">
        <v>24</v>
      </c>
      <c r="G291" s="96" t="s">
        <v>25</v>
      </c>
      <c r="H291" s="90" t="s">
        <v>26</v>
      </c>
      <c r="I291" s="93" t="s">
        <v>1334</v>
      </c>
      <c r="J291" s="94" t="s">
        <v>1335</v>
      </c>
      <c r="K291" s="96" t="s">
        <v>109</v>
      </c>
      <c r="L291" s="90"/>
      <c r="M291" s="90"/>
      <c r="N291" s="432"/>
      <c r="O291" s="432"/>
      <c r="P291" s="432"/>
      <c r="Q291" s="432"/>
      <c r="R291" s="432"/>
      <c r="S291" s="91"/>
      <c r="T291" s="96" t="s">
        <v>1336</v>
      </c>
      <c r="U291" s="90"/>
      <c r="V291" s="90" t="s">
        <v>1230</v>
      </c>
      <c r="W291" s="90" t="s">
        <v>1337</v>
      </c>
      <c r="X291" s="90" t="s">
        <v>1338</v>
      </c>
      <c r="Y291" s="91">
        <v>24</v>
      </c>
      <c r="Z291" s="95">
        <v>12.5</v>
      </c>
      <c r="AA291" s="91">
        <v>92</v>
      </c>
      <c r="AB291" s="95">
        <v>0</v>
      </c>
    </row>
    <row r="292" spans="1:28" s="433" customFormat="1" x14ac:dyDescent="0.25">
      <c r="A292" s="460"/>
      <c r="B292" s="90" t="s">
        <v>22</v>
      </c>
      <c r="C292" s="91">
        <v>8</v>
      </c>
      <c r="D292" s="92">
        <v>67726109</v>
      </c>
      <c r="E292" s="91" t="s">
        <v>23</v>
      </c>
      <c r="F292" s="91" t="s">
        <v>35</v>
      </c>
      <c r="G292" s="96" t="s">
        <v>25</v>
      </c>
      <c r="H292" s="90" t="s">
        <v>26</v>
      </c>
      <c r="I292" s="93" t="s">
        <v>1339</v>
      </c>
      <c r="J292" s="94" t="s">
        <v>1340</v>
      </c>
      <c r="K292" s="96" t="s">
        <v>29</v>
      </c>
      <c r="L292" s="90" t="s">
        <v>39</v>
      </c>
      <c r="M292" s="90" t="s">
        <v>51</v>
      </c>
      <c r="N292" s="432">
        <v>746133153</v>
      </c>
      <c r="O292" s="432"/>
      <c r="P292" s="432"/>
      <c r="Q292" s="432" t="s">
        <v>4181</v>
      </c>
      <c r="R292" s="432">
        <v>0</v>
      </c>
      <c r="S292" s="91"/>
      <c r="T292" s="96"/>
      <c r="U292" s="90"/>
      <c r="V292" s="90" t="s">
        <v>391</v>
      </c>
      <c r="W292" s="90" t="s">
        <v>1341</v>
      </c>
      <c r="X292" s="90" t="s">
        <v>1342</v>
      </c>
      <c r="Y292" s="91">
        <v>32</v>
      </c>
      <c r="Z292" s="95">
        <v>15.63</v>
      </c>
      <c r="AA292" s="91">
        <v>99</v>
      </c>
      <c r="AB292" s="95">
        <v>0</v>
      </c>
    </row>
    <row r="293" spans="1:28" s="433" customFormat="1" x14ac:dyDescent="0.25">
      <c r="A293" s="460"/>
      <c r="B293" s="90" t="s">
        <v>22</v>
      </c>
      <c r="C293" s="91">
        <v>14</v>
      </c>
      <c r="D293" s="92">
        <v>23559797</v>
      </c>
      <c r="E293" s="91" t="s">
        <v>23</v>
      </c>
      <c r="F293" s="91" t="s">
        <v>35</v>
      </c>
      <c r="G293" s="96" t="s">
        <v>25</v>
      </c>
      <c r="H293" s="90" t="s">
        <v>26</v>
      </c>
      <c r="I293" s="93" t="s">
        <v>1343</v>
      </c>
      <c r="J293" s="94" t="s">
        <v>1344</v>
      </c>
      <c r="K293" s="96" t="s">
        <v>109</v>
      </c>
      <c r="L293" s="90"/>
      <c r="M293" s="90"/>
      <c r="N293" s="432"/>
      <c r="O293" s="432"/>
      <c r="P293" s="432"/>
      <c r="Q293" s="432"/>
      <c r="R293" s="432"/>
      <c r="S293" s="91"/>
      <c r="T293" s="96"/>
      <c r="U293" s="90"/>
      <c r="V293" s="90" t="s">
        <v>180</v>
      </c>
      <c r="W293" s="90" t="s">
        <v>1345</v>
      </c>
      <c r="X293" s="90" t="s">
        <v>1346</v>
      </c>
      <c r="Y293" s="91">
        <v>29</v>
      </c>
      <c r="Z293" s="95">
        <v>10.34</v>
      </c>
      <c r="AA293" s="91">
        <v>85</v>
      </c>
      <c r="AB293" s="95">
        <v>0</v>
      </c>
    </row>
    <row r="294" spans="1:28" s="433" customFormat="1" ht="30" x14ac:dyDescent="0.25">
      <c r="A294" s="460"/>
      <c r="B294" s="90" t="s">
        <v>22</v>
      </c>
      <c r="C294" s="91">
        <v>14</v>
      </c>
      <c r="D294" s="92">
        <v>56145071</v>
      </c>
      <c r="E294" s="91" t="s">
        <v>23</v>
      </c>
      <c r="F294" s="91" t="s">
        <v>35</v>
      </c>
      <c r="G294" s="96" t="s">
        <v>25</v>
      </c>
      <c r="H294" s="90" t="s">
        <v>168</v>
      </c>
      <c r="I294" s="93" t="s">
        <v>1347</v>
      </c>
      <c r="J294" s="94" t="s">
        <v>1348</v>
      </c>
      <c r="K294" s="96" t="s">
        <v>29</v>
      </c>
      <c r="L294" s="90" t="s">
        <v>30</v>
      </c>
      <c r="M294" s="90" t="s">
        <v>56</v>
      </c>
      <c r="N294" s="432"/>
      <c r="O294" s="432"/>
      <c r="P294" s="432"/>
      <c r="Q294" s="432"/>
      <c r="R294" s="432"/>
      <c r="S294" s="91"/>
      <c r="T294" s="96"/>
      <c r="U294" s="90"/>
      <c r="V294" s="90" t="s">
        <v>376</v>
      </c>
      <c r="W294" s="90" t="s">
        <v>1349</v>
      </c>
      <c r="X294" s="90" t="s">
        <v>1350</v>
      </c>
      <c r="Y294" s="91">
        <v>30</v>
      </c>
      <c r="Z294" s="95">
        <v>10</v>
      </c>
      <c r="AA294" s="91">
        <v>103</v>
      </c>
      <c r="AB294" s="95">
        <v>0</v>
      </c>
    </row>
    <row r="295" spans="1:28" s="433" customFormat="1" x14ac:dyDescent="0.25">
      <c r="A295" s="460"/>
      <c r="B295" s="90" t="s">
        <v>22</v>
      </c>
      <c r="C295" s="91">
        <v>14</v>
      </c>
      <c r="D295" s="92">
        <v>60069840</v>
      </c>
      <c r="E295" s="91" t="s">
        <v>43</v>
      </c>
      <c r="F295" s="91" t="s">
        <v>24</v>
      </c>
      <c r="G295" s="96" t="s">
        <v>25</v>
      </c>
      <c r="H295" s="90" t="s">
        <v>26</v>
      </c>
      <c r="I295" s="93" t="s">
        <v>1351</v>
      </c>
      <c r="J295" s="94" t="s">
        <v>1352</v>
      </c>
      <c r="K295" s="96" t="s">
        <v>29</v>
      </c>
      <c r="L295" s="90" t="s">
        <v>39</v>
      </c>
      <c r="M295" s="90" t="s">
        <v>51</v>
      </c>
      <c r="N295" s="432"/>
      <c r="O295" s="432"/>
      <c r="P295" s="432"/>
      <c r="Q295" s="432"/>
      <c r="R295" s="432"/>
      <c r="S295" s="91"/>
      <c r="T295" s="96" t="s">
        <v>1353</v>
      </c>
      <c r="U295" s="90"/>
      <c r="V295" s="90" t="s">
        <v>165</v>
      </c>
      <c r="W295" s="90" t="s">
        <v>1354</v>
      </c>
      <c r="X295" s="90" t="s">
        <v>1355</v>
      </c>
      <c r="Y295" s="91">
        <v>33</v>
      </c>
      <c r="Z295" s="95">
        <v>12.12</v>
      </c>
      <c r="AA295" s="91">
        <v>98</v>
      </c>
      <c r="AB295" s="95">
        <v>0</v>
      </c>
    </row>
    <row r="296" spans="1:28" s="433" customFormat="1" x14ac:dyDescent="0.25">
      <c r="A296" s="460"/>
      <c r="B296" s="90" t="s">
        <v>22</v>
      </c>
      <c r="C296" s="91">
        <v>15</v>
      </c>
      <c r="D296" s="92">
        <v>75694197</v>
      </c>
      <c r="E296" s="91" t="s">
        <v>43</v>
      </c>
      <c r="F296" s="91" t="s">
        <v>23</v>
      </c>
      <c r="G296" s="96" t="s">
        <v>25</v>
      </c>
      <c r="H296" s="90" t="s">
        <v>26</v>
      </c>
      <c r="I296" s="93" t="s">
        <v>1356</v>
      </c>
      <c r="J296" s="94" t="s">
        <v>1357</v>
      </c>
      <c r="K296" s="96" t="s">
        <v>29</v>
      </c>
      <c r="L296" s="90" t="s">
        <v>30</v>
      </c>
      <c r="M296" s="90" t="s">
        <v>56</v>
      </c>
      <c r="N296" s="432"/>
      <c r="O296" s="432"/>
      <c r="P296" s="432"/>
      <c r="Q296" s="432"/>
      <c r="R296" s="432"/>
      <c r="S296" s="91"/>
      <c r="T296" s="96"/>
      <c r="U296" s="90"/>
      <c r="V296" s="90" t="s">
        <v>115</v>
      </c>
      <c r="W296" s="90" t="s">
        <v>1358</v>
      </c>
      <c r="X296" s="90" t="s">
        <v>1359</v>
      </c>
      <c r="Y296" s="91">
        <v>32</v>
      </c>
      <c r="Z296" s="95">
        <v>37.5</v>
      </c>
      <c r="AA296" s="91">
        <v>76</v>
      </c>
      <c r="AB296" s="95">
        <v>0</v>
      </c>
    </row>
    <row r="297" spans="1:28" s="433" customFormat="1" x14ac:dyDescent="0.25">
      <c r="A297" s="460"/>
      <c r="B297" s="90" t="s">
        <v>22</v>
      </c>
      <c r="C297" s="91">
        <v>16</v>
      </c>
      <c r="D297" s="92">
        <v>633268</v>
      </c>
      <c r="E297" s="91" t="s">
        <v>43</v>
      </c>
      <c r="F297" s="91" t="s">
        <v>35</v>
      </c>
      <c r="G297" s="96" t="s">
        <v>25</v>
      </c>
      <c r="H297" s="90" t="s">
        <v>519</v>
      </c>
      <c r="I297" s="93" t="s">
        <v>1360</v>
      </c>
      <c r="J297" s="94" t="s">
        <v>1361</v>
      </c>
      <c r="K297" s="96" t="s">
        <v>109</v>
      </c>
      <c r="L297" s="90"/>
      <c r="M297" s="90"/>
      <c r="N297" s="432"/>
      <c r="O297" s="432"/>
      <c r="P297" s="432"/>
      <c r="Q297" s="432"/>
      <c r="R297" s="432"/>
      <c r="S297" s="91"/>
      <c r="T297" s="96"/>
      <c r="U297" s="90"/>
      <c r="V297" s="90" t="s">
        <v>120</v>
      </c>
      <c r="W297" s="90" t="s">
        <v>1362</v>
      </c>
      <c r="X297" s="90" t="s">
        <v>1363</v>
      </c>
      <c r="Y297" s="91">
        <v>31</v>
      </c>
      <c r="Z297" s="95">
        <v>48.39</v>
      </c>
      <c r="AA297" s="91">
        <v>86</v>
      </c>
      <c r="AB297" s="95">
        <v>0</v>
      </c>
    </row>
    <row r="298" spans="1:28" s="433" customFormat="1" x14ac:dyDescent="0.25">
      <c r="A298" s="460"/>
      <c r="B298" s="90" t="s">
        <v>22</v>
      </c>
      <c r="C298" s="91">
        <v>16</v>
      </c>
      <c r="D298" s="92">
        <v>2152417</v>
      </c>
      <c r="E298" s="91" t="s">
        <v>35</v>
      </c>
      <c r="F298" s="91" t="s">
        <v>43</v>
      </c>
      <c r="G298" s="96" t="s">
        <v>25</v>
      </c>
      <c r="H298" s="90" t="s">
        <v>26</v>
      </c>
      <c r="I298" s="93" t="s">
        <v>1364</v>
      </c>
      <c r="J298" s="94" t="s">
        <v>1365</v>
      </c>
      <c r="K298" s="96" t="s">
        <v>29</v>
      </c>
      <c r="L298" s="90"/>
      <c r="M298" s="90" t="s">
        <v>51</v>
      </c>
      <c r="N298" s="432"/>
      <c r="O298" s="432"/>
      <c r="P298" s="432"/>
      <c r="Q298" s="432"/>
      <c r="R298" s="432"/>
      <c r="S298" s="91"/>
      <c r="T298" s="96"/>
      <c r="U298" s="90"/>
      <c r="V298" s="90" t="s">
        <v>120</v>
      </c>
      <c r="W298" s="90" t="s">
        <v>1366</v>
      </c>
      <c r="X298" s="90" t="s">
        <v>1367</v>
      </c>
      <c r="Y298" s="91">
        <v>40</v>
      </c>
      <c r="Z298" s="95">
        <v>47.5</v>
      </c>
      <c r="AA298" s="91">
        <v>76</v>
      </c>
      <c r="AB298" s="95">
        <v>0</v>
      </c>
    </row>
    <row r="299" spans="1:28" s="433" customFormat="1" x14ac:dyDescent="0.25">
      <c r="A299" s="460"/>
      <c r="B299" s="90" t="s">
        <v>22</v>
      </c>
      <c r="C299" s="91">
        <v>16</v>
      </c>
      <c r="D299" s="92">
        <v>3065529</v>
      </c>
      <c r="E299" s="91" t="s">
        <v>24</v>
      </c>
      <c r="F299" s="91" t="s">
        <v>23</v>
      </c>
      <c r="G299" s="96" t="s">
        <v>25</v>
      </c>
      <c r="H299" s="90" t="s">
        <v>26</v>
      </c>
      <c r="I299" s="93" t="s">
        <v>1368</v>
      </c>
      <c r="J299" s="94" t="s">
        <v>1369</v>
      </c>
      <c r="K299" s="96" t="s">
        <v>29</v>
      </c>
      <c r="L299" s="90" t="s">
        <v>30</v>
      </c>
      <c r="M299" s="90" t="s">
        <v>56</v>
      </c>
      <c r="N299" s="432"/>
      <c r="O299" s="432"/>
      <c r="P299" s="432"/>
      <c r="Q299" s="432"/>
      <c r="R299" s="432"/>
      <c r="S299" s="91"/>
      <c r="T299" s="96"/>
      <c r="U299" s="90"/>
      <c r="V299" s="90" t="s">
        <v>120</v>
      </c>
      <c r="W299" s="90" t="s">
        <v>1370</v>
      </c>
      <c r="X299" s="90" t="s">
        <v>1371</v>
      </c>
      <c r="Y299" s="91">
        <v>48</v>
      </c>
      <c r="Z299" s="95">
        <v>41.67</v>
      </c>
      <c r="AA299" s="91">
        <v>92</v>
      </c>
      <c r="AB299" s="95">
        <v>0</v>
      </c>
    </row>
    <row r="300" spans="1:28" s="433" customFormat="1" x14ac:dyDescent="0.25">
      <c r="A300" s="460"/>
      <c r="B300" s="90" t="s">
        <v>22</v>
      </c>
      <c r="C300" s="91">
        <v>17</v>
      </c>
      <c r="D300" s="92">
        <v>10441026</v>
      </c>
      <c r="E300" s="91" t="s">
        <v>23</v>
      </c>
      <c r="F300" s="91" t="s">
        <v>24</v>
      </c>
      <c r="G300" s="96" t="s">
        <v>25</v>
      </c>
      <c r="H300" s="90" t="s">
        <v>26</v>
      </c>
      <c r="I300" s="93" t="s">
        <v>1372</v>
      </c>
      <c r="J300" s="94" t="s">
        <v>1373</v>
      </c>
      <c r="K300" s="96" t="s">
        <v>29</v>
      </c>
      <c r="L300" s="90" t="s">
        <v>30</v>
      </c>
      <c r="M300" s="90" t="s">
        <v>56</v>
      </c>
      <c r="N300" s="432">
        <v>372386851</v>
      </c>
      <c r="O300" s="432"/>
      <c r="P300" s="432" t="s">
        <v>761</v>
      </c>
      <c r="Q300" s="432" t="s">
        <v>4181</v>
      </c>
      <c r="R300" s="432" t="s">
        <v>4181</v>
      </c>
      <c r="S300" s="91"/>
      <c r="T300" s="96"/>
      <c r="U300" s="90"/>
      <c r="V300" s="90" t="s">
        <v>104</v>
      </c>
      <c r="W300" s="90" t="s">
        <v>1374</v>
      </c>
      <c r="X300" s="90" t="s">
        <v>1375</v>
      </c>
      <c r="Y300" s="91">
        <v>45</v>
      </c>
      <c r="Z300" s="95">
        <v>48.89</v>
      </c>
      <c r="AA300" s="91">
        <v>102</v>
      </c>
      <c r="AB300" s="95">
        <v>0</v>
      </c>
    </row>
    <row r="301" spans="1:28" s="433" customFormat="1" x14ac:dyDescent="0.25">
      <c r="A301" s="460"/>
      <c r="B301" s="90" t="s">
        <v>22</v>
      </c>
      <c r="C301" s="91">
        <v>17</v>
      </c>
      <c r="D301" s="92">
        <v>33266638</v>
      </c>
      <c r="E301" s="91" t="s">
        <v>35</v>
      </c>
      <c r="F301" s="91" t="s">
        <v>24</v>
      </c>
      <c r="G301" s="96" t="s">
        <v>25</v>
      </c>
      <c r="H301" s="90" t="s">
        <v>26</v>
      </c>
      <c r="I301" s="93" t="s">
        <v>1068</v>
      </c>
      <c r="J301" s="94" t="s">
        <v>1376</v>
      </c>
      <c r="K301" s="96" t="s">
        <v>29</v>
      </c>
      <c r="L301" s="90" t="s">
        <v>39</v>
      </c>
      <c r="M301" s="90" t="s">
        <v>51</v>
      </c>
      <c r="N301" s="432"/>
      <c r="O301" s="432"/>
      <c r="P301" s="432"/>
      <c r="Q301" s="432"/>
      <c r="R301" s="432"/>
      <c r="S301" s="91"/>
      <c r="T301" s="96"/>
      <c r="U301" s="90"/>
      <c r="V301" s="90" t="s">
        <v>468</v>
      </c>
      <c r="W301" s="90" t="s">
        <v>1377</v>
      </c>
      <c r="X301" s="90" t="s">
        <v>1378</v>
      </c>
      <c r="Y301" s="91">
        <v>31</v>
      </c>
      <c r="Z301" s="95">
        <v>45.16</v>
      </c>
      <c r="AA301" s="91">
        <v>85</v>
      </c>
      <c r="AB301" s="95">
        <v>0</v>
      </c>
    </row>
    <row r="302" spans="1:28" s="433" customFormat="1" x14ac:dyDescent="0.25">
      <c r="A302" s="460"/>
      <c r="B302" s="90" t="s">
        <v>22</v>
      </c>
      <c r="C302" s="91">
        <v>17</v>
      </c>
      <c r="D302" s="92">
        <v>72368116</v>
      </c>
      <c r="E302" s="91" t="s">
        <v>23</v>
      </c>
      <c r="F302" s="91" t="s">
        <v>24</v>
      </c>
      <c r="G302" s="96" t="s">
        <v>25</v>
      </c>
      <c r="H302" s="90" t="s">
        <v>26</v>
      </c>
      <c r="I302" s="93" t="s">
        <v>1379</v>
      </c>
      <c r="J302" s="94" t="s">
        <v>1380</v>
      </c>
      <c r="K302" s="96" t="s">
        <v>29</v>
      </c>
      <c r="L302" s="90"/>
      <c r="M302" s="90" t="s">
        <v>56</v>
      </c>
      <c r="N302" s="432">
        <v>149042051</v>
      </c>
      <c r="O302" s="432"/>
      <c r="P302" s="432" t="s">
        <v>4203</v>
      </c>
      <c r="Q302" s="432" t="s">
        <v>4204</v>
      </c>
      <c r="R302" s="432" t="s">
        <v>4205</v>
      </c>
      <c r="S302" s="91"/>
      <c r="T302" s="96">
        <v>984032</v>
      </c>
      <c r="U302" s="90"/>
      <c r="V302" s="90" t="s">
        <v>82</v>
      </c>
      <c r="W302" s="90" t="s">
        <v>1381</v>
      </c>
      <c r="X302" s="90" t="s">
        <v>1382</v>
      </c>
      <c r="Y302" s="91">
        <v>50</v>
      </c>
      <c r="Z302" s="95">
        <v>38</v>
      </c>
      <c r="AA302" s="91">
        <v>108</v>
      </c>
      <c r="AB302" s="95">
        <v>0</v>
      </c>
    </row>
    <row r="303" spans="1:28" s="433" customFormat="1" x14ac:dyDescent="0.25">
      <c r="A303" s="460"/>
      <c r="B303" s="90" t="s">
        <v>22</v>
      </c>
      <c r="C303" s="91">
        <v>19</v>
      </c>
      <c r="D303" s="92">
        <v>7119557</v>
      </c>
      <c r="E303" s="91" t="s">
        <v>23</v>
      </c>
      <c r="F303" s="91" t="s">
        <v>35</v>
      </c>
      <c r="G303" s="96" t="s">
        <v>25</v>
      </c>
      <c r="H303" s="90" t="s">
        <v>26</v>
      </c>
      <c r="I303" s="93" t="s">
        <v>1383</v>
      </c>
      <c r="J303" s="94" t="s">
        <v>1384</v>
      </c>
      <c r="K303" s="96" t="s">
        <v>29</v>
      </c>
      <c r="L303" s="90" t="s">
        <v>30</v>
      </c>
      <c r="M303" s="90" t="s">
        <v>31</v>
      </c>
      <c r="N303" s="432"/>
      <c r="O303" s="432"/>
      <c r="P303" s="432"/>
      <c r="Q303" s="432"/>
      <c r="R303" s="432"/>
      <c r="S303" s="91"/>
      <c r="T303" s="96"/>
      <c r="U303" s="90"/>
      <c r="V303" s="90" t="s">
        <v>32</v>
      </c>
      <c r="W303" s="90" t="s">
        <v>1385</v>
      </c>
      <c r="X303" s="90" t="s">
        <v>1386</v>
      </c>
      <c r="Y303" s="91">
        <v>29</v>
      </c>
      <c r="Z303" s="95">
        <v>10.34</v>
      </c>
      <c r="AA303" s="91">
        <v>99</v>
      </c>
      <c r="AB303" s="95">
        <v>0</v>
      </c>
    </row>
    <row r="304" spans="1:28" s="433" customFormat="1" x14ac:dyDescent="0.25">
      <c r="A304" s="460"/>
      <c r="B304" s="90" t="s">
        <v>22</v>
      </c>
      <c r="C304" s="91">
        <v>19</v>
      </c>
      <c r="D304" s="92">
        <v>15484871</v>
      </c>
      <c r="E304" s="91" t="s">
        <v>23</v>
      </c>
      <c r="F304" s="91" t="s">
        <v>24</v>
      </c>
      <c r="G304" s="96" t="s">
        <v>25</v>
      </c>
      <c r="H304" s="90" t="s">
        <v>26</v>
      </c>
      <c r="I304" s="93" t="s">
        <v>1387</v>
      </c>
      <c r="J304" s="94" t="s">
        <v>1388</v>
      </c>
      <c r="K304" s="96" t="s">
        <v>29</v>
      </c>
      <c r="L304" s="90" t="s">
        <v>39</v>
      </c>
      <c r="M304" s="90" t="s">
        <v>51</v>
      </c>
      <c r="N304" s="432"/>
      <c r="O304" s="432"/>
      <c r="P304" s="432"/>
      <c r="Q304" s="432"/>
      <c r="R304" s="432"/>
      <c r="S304" s="91"/>
      <c r="T304" s="96"/>
      <c r="U304" s="90"/>
      <c r="V304" s="90" t="s">
        <v>1389</v>
      </c>
      <c r="W304" s="90" t="s">
        <v>1390</v>
      </c>
      <c r="X304" s="90" t="s">
        <v>1391</v>
      </c>
      <c r="Y304" s="91">
        <v>24</v>
      </c>
      <c r="Z304" s="95">
        <v>12.5</v>
      </c>
      <c r="AA304" s="91">
        <v>112</v>
      </c>
      <c r="AB304" s="95">
        <v>0</v>
      </c>
    </row>
    <row r="305" spans="1:28" s="433" customFormat="1" x14ac:dyDescent="0.25">
      <c r="A305" s="460"/>
      <c r="B305" s="90" t="s">
        <v>22</v>
      </c>
      <c r="C305" s="91">
        <v>19</v>
      </c>
      <c r="D305" s="92">
        <v>53855341</v>
      </c>
      <c r="E305" s="91" t="s">
        <v>24</v>
      </c>
      <c r="F305" s="91" t="s">
        <v>35</v>
      </c>
      <c r="G305" s="96" t="s">
        <v>25</v>
      </c>
      <c r="H305" s="90" t="s">
        <v>26</v>
      </c>
      <c r="I305" s="93" t="s">
        <v>1392</v>
      </c>
      <c r="J305" s="94" t="s">
        <v>1393</v>
      </c>
      <c r="K305" s="96" t="s">
        <v>29</v>
      </c>
      <c r="L305" s="90" t="s">
        <v>92</v>
      </c>
      <c r="M305" s="90" t="s">
        <v>51</v>
      </c>
      <c r="N305" s="90">
        <v>774872871</v>
      </c>
      <c r="O305" s="432"/>
      <c r="P305" s="432"/>
      <c r="Q305" s="432"/>
      <c r="R305" s="432"/>
      <c r="S305" s="91"/>
      <c r="T305" s="96"/>
      <c r="U305" s="90"/>
      <c r="V305" s="90" t="s">
        <v>838</v>
      </c>
      <c r="W305" s="90" t="s">
        <v>1394</v>
      </c>
      <c r="X305" s="90" t="s">
        <v>1395</v>
      </c>
      <c r="Y305" s="91">
        <v>30</v>
      </c>
      <c r="Z305" s="95">
        <v>10</v>
      </c>
      <c r="AA305" s="91">
        <v>139</v>
      </c>
      <c r="AB305" s="95">
        <v>0</v>
      </c>
    </row>
    <row r="306" spans="1:28" s="433" customFormat="1" x14ac:dyDescent="0.25">
      <c r="A306" s="460"/>
      <c r="B306" s="90" t="s">
        <v>22</v>
      </c>
      <c r="C306" s="91">
        <v>20</v>
      </c>
      <c r="D306" s="92">
        <v>45633702</v>
      </c>
      <c r="E306" s="91" t="s">
        <v>43</v>
      </c>
      <c r="F306" s="91" t="s">
        <v>24</v>
      </c>
      <c r="G306" s="96" t="s">
        <v>25</v>
      </c>
      <c r="H306" s="90" t="s">
        <v>26</v>
      </c>
      <c r="I306" s="93" t="s">
        <v>1396</v>
      </c>
      <c r="J306" s="94" t="s">
        <v>1397</v>
      </c>
      <c r="K306" s="96" t="s">
        <v>29</v>
      </c>
      <c r="L306" s="90" t="s">
        <v>39</v>
      </c>
      <c r="M306" s="90" t="s">
        <v>51</v>
      </c>
      <c r="N306" s="432"/>
      <c r="O306" s="432"/>
      <c r="P306" s="432"/>
      <c r="Q306" s="432"/>
      <c r="R306" s="432"/>
      <c r="S306" s="91"/>
      <c r="T306" s="96">
        <v>3423697</v>
      </c>
      <c r="U306" s="90"/>
      <c r="V306" s="90" t="s">
        <v>131</v>
      </c>
      <c r="W306" s="90" t="s">
        <v>1398</v>
      </c>
      <c r="X306" s="90" t="s">
        <v>1399</v>
      </c>
      <c r="Y306" s="91">
        <v>43</v>
      </c>
      <c r="Z306" s="95">
        <v>34.880000000000003</v>
      </c>
      <c r="AA306" s="91">
        <v>97</v>
      </c>
      <c r="AB306" s="95">
        <v>0</v>
      </c>
    </row>
    <row r="307" spans="1:28" s="433" customFormat="1" x14ac:dyDescent="0.25">
      <c r="A307" s="460"/>
      <c r="B307" s="90" t="s">
        <v>22</v>
      </c>
      <c r="C307" s="91" t="s">
        <v>379</v>
      </c>
      <c r="D307" s="92">
        <v>55040058</v>
      </c>
      <c r="E307" s="91" t="s">
        <v>43</v>
      </c>
      <c r="F307" s="91" t="s">
        <v>24</v>
      </c>
      <c r="G307" s="96" t="s">
        <v>25</v>
      </c>
      <c r="H307" s="90" t="s">
        <v>26</v>
      </c>
      <c r="I307" s="93" t="s">
        <v>1400</v>
      </c>
      <c r="J307" s="94" t="s">
        <v>1401</v>
      </c>
      <c r="K307" s="96" t="s">
        <v>29</v>
      </c>
      <c r="L307" s="90" t="s">
        <v>39</v>
      </c>
      <c r="M307" s="90" t="s">
        <v>51</v>
      </c>
      <c r="N307" s="432"/>
      <c r="O307" s="432"/>
      <c r="P307" s="432"/>
      <c r="Q307" s="432"/>
      <c r="R307" s="432"/>
      <c r="S307" s="91"/>
      <c r="T307" s="96"/>
      <c r="U307" s="90"/>
      <c r="V307" s="90" t="s">
        <v>428</v>
      </c>
      <c r="W307" s="90" t="s">
        <v>1402</v>
      </c>
      <c r="X307" s="90" t="s">
        <v>1403</v>
      </c>
      <c r="Y307" s="91">
        <v>17</v>
      </c>
      <c r="Z307" s="95">
        <v>17.649999999999999</v>
      </c>
      <c r="AA307" s="91">
        <v>53</v>
      </c>
      <c r="AB307" s="95">
        <v>0</v>
      </c>
    </row>
    <row r="308" spans="1:28" s="433" customFormat="1" x14ac:dyDescent="0.25">
      <c r="A308" s="460"/>
      <c r="B308" s="90" t="s">
        <v>22</v>
      </c>
      <c r="C308" s="91" t="s">
        <v>379</v>
      </c>
      <c r="D308" s="92">
        <v>122532602</v>
      </c>
      <c r="E308" s="91" t="s">
        <v>35</v>
      </c>
      <c r="F308" s="91" t="s">
        <v>43</v>
      </c>
      <c r="G308" s="96" t="s">
        <v>25</v>
      </c>
      <c r="H308" s="90" t="s">
        <v>26</v>
      </c>
      <c r="I308" s="93" t="s">
        <v>1404</v>
      </c>
      <c r="J308" s="94" t="s">
        <v>1405</v>
      </c>
      <c r="K308" s="96" t="s">
        <v>29</v>
      </c>
      <c r="L308" s="90"/>
      <c r="M308" s="90" t="s">
        <v>31</v>
      </c>
      <c r="N308" s="432"/>
      <c r="O308" s="432"/>
      <c r="P308" s="432"/>
      <c r="Q308" s="432"/>
      <c r="R308" s="432"/>
      <c r="S308" s="91"/>
      <c r="T308" s="96"/>
      <c r="U308" s="90"/>
      <c r="V308" s="90" t="s">
        <v>1406</v>
      </c>
      <c r="W308" s="90" t="s">
        <v>1407</v>
      </c>
      <c r="X308" s="90" t="s">
        <v>1408</v>
      </c>
      <c r="Y308" s="91">
        <v>25</v>
      </c>
      <c r="Z308" s="95">
        <v>12</v>
      </c>
      <c r="AA308" s="91">
        <v>45</v>
      </c>
      <c r="AB308" s="95">
        <v>0</v>
      </c>
    </row>
    <row r="309" spans="1:28" s="433" customFormat="1" x14ac:dyDescent="0.25">
      <c r="A309" s="460"/>
      <c r="B309" s="90" t="s">
        <v>22</v>
      </c>
      <c r="C309" s="91" t="s">
        <v>379</v>
      </c>
      <c r="D309" s="92">
        <v>133551302</v>
      </c>
      <c r="E309" s="91" t="s">
        <v>35</v>
      </c>
      <c r="F309" s="91" t="s">
        <v>43</v>
      </c>
      <c r="G309" s="96" t="s">
        <v>25</v>
      </c>
      <c r="H309" s="90" t="s">
        <v>26</v>
      </c>
      <c r="I309" s="93" t="s">
        <v>1409</v>
      </c>
      <c r="J309" s="94" t="s">
        <v>1410</v>
      </c>
      <c r="K309" s="96" t="s">
        <v>29</v>
      </c>
      <c r="L309" s="90"/>
      <c r="M309" s="90" t="s">
        <v>56</v>
      </c>
      <c r="N309" s="432"/>
      <c r="O309" s="432"/>
      <c r="P309" s="432"/>
      <c r="Q309" s="432"/>
      <c r="R309" s="432"/>
      <c r="S309" s="91"/>
      <c r="T309" s="96"/>
      <c r="U309" s="90"/>
      <c r="V309" s="90" t="s">
        <v>1123</v>
      </c>
      <c r="W309" s="90" t="s">
        <v>1411</v>
      </c>
      <c r="X309" s="90" t="s">
        <v>1412</v>
      </c>
      <c r="Y309" s="91">
        <v>25</v>
      </c>
      <c r="Z309" s="95">
        <v>92</v>
      </c>
      <c r="AA309" s="91">
        <v>35</v>
      </c>
      <c r="AB309" s="95">
        <v>0</v>
      </c>
    </row>
    <row r="310" spans="1:28" s="435" customFormat="1" x14ac:dyDescent="0.25">
      <c r="A310" s="460"/>
      <c r="B310" s="97" t="s">
        <v>504</v>
      </c>
      <c r="C310" s="98">
        <v>1</v>
      </c>
      <c r="D310" s="99">
        <v>226259113</v>
      </c>
      <c r="E310" s="98" t="s">
        <v>23</v>
      </c>
      <c r="F310" s="98" t="s">
        <v>43</v>
      </c>
      <c r="G310" s="104" t="s">
        <v>25</v>
      </c>
      <c r="H310" s="100" t="s">
        <v>26</v>
      </c>
      <c r="I310" s="101" t="s">
        <v>1413</v>
      </c>
      <c r="J310" s="102" t="s">
        <v>1414</v>
      </c>
      <c r="K310" s="104" t="s">
        <v>29</v>
      </c>
      <c r="L310" s="100" t="s">
        <v>30</v>
      </c>
      <c r="M310" s="100"/>
      <c r="N310" s="100">
        <v>749423281</v>
      </c>
      <c r="O310" s="434"/>
      <c r="P310" s="434"/>
      <c r="Q310" s="434"/>
      <c r="R310" s="434"/>
      <c r="S310" s="98"/>
      <c r="T310" s="104">
        <v>3930660</v>
      </c>
      <c r="U310" s="97"/>
      <c r="V310" s="100" t="s">
        <v>1415</v>
      </c>
      <c r="W310" s="100" t="s">
        <v>1416</v>
      </c>
      <c r="X310" s="100" t="s">
        <v>1417</v>
      </c>
      <c r="Y310" s="98">
        <v>29</v>
      </c>
      <c r="Z310" s="103">
        <v>13.79</v>
      </c>
      <c r="AA310" s="98">
        <v>52</v>
      </c>
      <c r="AB310" s="103">
        <v>6</v>
      </c>
    </row>
    <row r="311" spans="1:28" s="435" customFormat="1" x14ac:dyDescent="0.25">
      <c r="A311" s="460"/>
      <c r="B311" s="97" t="s">
        <v>504</v>
      </c>
      <c r="C311" s="105">
        <v>11</v>
      </c>
      <c r="D311" s="106">
        <v>43413055</v>
      </c>
      <c r="E311" s="105" t="s">
        <v>43</v>
      </c>
      <c r="F311" s="105" t="s">
        <v>24</v>
      </c>
      <c r="G311" s="110" t="s">
        <v>25</v>
      </c>
      <c r="H311" s="97" t="s">
        <v>26</v>
      </c>
      <c r="I311" s="107" t="s">
        <v>1418</v>
      </c>
      <c r="J311" s="108" t="s">
        <v>1419</v>
      </c>
      <c r="K311" s="110" t="s">
        <v>29</v>
      </c>
      <c r="L311" s="97" t="s">
        <v>30</v>
      </c>
      <c r="M311" s="97" t="s">
        <v>56</v>
      </c>
      <c r="N311" s="434"/>
      <c r="O311" s="434"/>
      <c r="P311" s="434"/>
      <c r="Q311" s="434"/>
      <c r="R311" s="434"/>
      <c r="S311" s="105"/>
      <c r="T311" s="110"/>
      <c r="U311" s="97"/>
      <c r="V311" s="97" t="s">
        <v>125</v>
      </c>
      <c r="W311" s="97" t="s">
        <v>1420</v>
      </c>
      <c r="X311" s="97" t="s">
        <v>1421</v>
      </c>
      <c r="Y311" s="105">
        <v>33</v>
      </c>
      <c r="Z311" s="109">
        <v>57.58</v>
      </c>
      <c r="AA311" s="105">
        <v>78</v>
      </c>
      <c r="AB311" s="109">
        <v>24.36</v>
      </c>
    </row>
    <row r="312" spans="1:28" s="435" customFormat="1" x14ac:dyDescent="0.25">
      <c r="A312" s="460"/>
      <c r="B312" s="97" t="s">
        <v>504</v>
      </c>
      <c r="C312" s="105">
        <v>11</v>
      </c>
      <c r="D312" s="106">
        <v>69588144</v>
      </c>
      <c r="E312" s="105" t="s">
        <v>23</v>
      </c>
      <c r="F312" s="105" t="s">
        <v>43</v>
      </c>
      <c r="G312" s="110" t="s">
        <v>25</v>
      </c>
      <c r="H312" s="97" t="s">
        <v>26</v>
      </c>
      <c r="I312" s="107" t="s">
        <v>1422</v>
      </c>
      <c r="J312" s="108" t="s">
        <v>1423</v>
      </c>
      <c r="K312" s="110" t="s">
        <v>29</v>
      </c>
      <c r="L312" s="97" t="s">
        <v>30</v>
      </c>
      <c r="M312" s="97" t="s">
        <v>56</v>
      </c>
      <c r="N312" s="434"/>
      <c r="O312" s="434"/>
      <c r="P312" s="434"/>
      <c r="Q312" s="434"/>
      <c r="R312" s="434"/>
      <c r="S312" s="105"/>
      <c r="T312" s="110"/>
      <c r="U312" s="97"/>
      <c r="V312" s="97" t="s">
        <v>208</v>
      </c>
      <c r="W312" s="97" t="s">
        <v>1424</v>
      </c>
      <c r="X312" s="97" t="s">
        <v>1425</v>
      </c>
      <c r="Y312" s="105">
        <v>36</v>
      </c>
      <c r="Z312" s="109">
        <v>63.89</v>
      </c>
      <c r="AA312" s="105">
        <v>65</v>
      </c>
      <c r="AB312" s="109">
        <v>21.54</v>
      </c>
    </row>
    <row r="313" spans="1:28" s="435" customFormat="1" x14ac:dyDescent="0.25">
      <c r="A313" s="460"/>
      <c r="B313" s="97" t="s">
        <v>504</v>
      </c>
      <c r="C313" s="105" t="s">
        <v>379</v>
      </c>
      <c r="D313" s="106">
        <v>67412761</v>
      </c>
      <c r="E313" s="105"/>
      <c r="F313" s="105" t="s">
        <v>35</v>
      </c>
      <c r="G313" s="110" t="s">
        <v>211</v>
      </c>
      <c r="H313" s="97" t="s">
        <v>26</v>
      </c>
      <c r="I313" s="107" t="s">
        <v>1426</v>
      </c>
      <c r="J313" s="108" t="s">
        <v>1427</v>
      </c>
      <c r="K313" s="110" t="s">
        <v>81</v>
      </c>
      <c r="L313" s="97"/>
      <c r="M313" s="97"/>
      <c r="N313" s="434"/>
      <c r="O313" s="434"/>
      <c r="P313" s="434"/>
      <c r="Q313" s="434"/>
      <c r="R313" s="434"/>
      <c r="S313" s="105"/>
      <c r="T313" s="110">
        <v>404994</v>
      </c>
      <c r="U313" s="97"/>
      <c r="V313" s="97" t="s">
        <v>468</v>
      </c>
      <c r="W313" s="97" t="s">
        <v>1428</v>
      </c>
      <c r="X313" s="97" t="s">
        <v>1429</v>
      </c>
      <c r="Y313" s="105">
        <v>26</v>
      </c>
      <c r="Z313" s="109">
        <v>96.15</v>
      </c>
      <c r="AA313" s="105">
        <v>43</v>
      </c>
      <c r="AB313" s="109">
        <v>30.23</v>
      </c>
    </row>
    <row r="314" spans="1:28" s="435" customFormat="1" x14ac:dyDescent="0.25">
      <c r="A314" s="460"/>
      <c r="B314" s="97" t="s">
        <v>504</v>
      </c>
      <c r="C314" s="105">
        <v>7</v>
      </c>
      <c r="D314" s="106">
        <v>5633210</v>
      </c>
      <c r="E314" s="105" t="s">
        <v>43</v>
      </c>
      <c r="F314" s="105" t="s">
        <v>23</v>
      </c>
      <c r="G314" s="110" t="s">
        <v>25</v>
      </c>
      <c r="H314" s="97" t="s">
        <v>26</v>
      </c>
      <c r="I314" s="107" t="s">
        <v>1430</v>
      </c>
      <c r="J314" s="108" t="s">
        <v>1431</v>
      </c>
      <c r="K314" s="110" t="s">
        <v>29</v>
      </c>
      <c r="L314" s="97" t="s">
        <v>30</v>
      </c>
      <c r="M314" s="97" t="s">
        <v>56</v>
      </c>
      <c r="N314" s="97">
        <v>61732760</v>
      </c>
      <c r="O314" s="434"/>
      <c r="P314" s="434"/>
      <c r="Q314" s="434"/>
      <c r="R314" s="434"/>
      <c r="S314" s="105"/>
      <c r="T314" s="110"/>
      <c r="U314" s="97"/>
      <c r="V314" s="97" t="s">
        <v>223</v>
      </c>
      <c r="W314" s="97" t="s">
        <v>1432</v>
      </c>
      <c r="X314" s="97" t="s">
        <v>1433</v>
      </c>
      <c r="Y314" s="105">
        <v>35</v>
      </c>
      <c r="Z314" s="109">
        <v>6</v>
      </c>
      <c r="AA314" s="105">
        <v>58</v>
      </c>
      <c r="AB314" s="109">
        <v>10.34</v>
      </c>
    </row>
    <row r="315" spans="1:28" s="437" customFormat="1" x14ac:dyDescent="0.25">
      <c r="A315" s="460"/>
      <c r="B315" s="111" t="s">
        <v>153</v>
      </c>
      <c r="C315" s="112">
        <v>5</v>
      </c>
      <c r="D315" s="113">
        <v>159520892</v>
      </c>
      <c r="E315" s="112" t="s">
        <v>24</v>
      </c>
      <c r="F315" s="112" t="s">
        <v>35</v>
      </c>
      <c r="G315" s="117" t="s">
        <v>25</v>
      </c>
      <c r="H315" s="111" t="s">
        <v>26</v>
      </c>
      <c r="I315" s="114" t="s">
        <v>1434</v>
      </c>
      <c r="J315" s="115" t="s">
        <v>1435</v>
      </c>
      <c r="K315" s="117" t="s">
        <v>29</v>
      </c>
      <c r="L315" s="111" t="s">
        <v>39</v>
      </c>
      <c r="M315" s="111" t="s">
        <v>51</v>
      </c>
      <c r="N315" s="436"/>
      <c r="O315" s="436"/>
      <c r="P315" s="436"/>
      <c r="Q315" s="436"/>
      <c r="R315" s="436"/>
      <c r="S315" s="112"/>
      <c r="T315" s="117"/>
      <c r="U315" s="111"/>
      <c r="V315" s="111" t="s">
        <v>46</v>
      </c>
      <c r="W315" s="111" t="s">
        <v>1436</v>
      </c>
      <c r="X315" s="111" t="s">
        <v>1437</v>
      </c>
      <c r="Y315" s="112">
        <v>34</v>
      </c>
      <c r="Z315" s="116">
        <v>0</v>
      </c>
      <c r="AA315" s="112">
        <v>94</v>
      </c>
      <c r="AB315" s="116">
        <v>19.149999999999999</v>
      </c>
    </row>
    <row r="316" spans="1:28" s="437" customFormat="1" x14ac:dyDescent="0.25">
      <c r="A316" s="460"/>
      <c r="B316" s="111" t="s">
        <v>153</v>
      </c>
      <c r="C316" s="112">
        <v>1</v>
      </c>
      <c r="D316" s="113">
        <v>36752657</v>
      </c>
      <c r="E316" s="112" t="s">
        <v>23</v>
      </c>
      <c r="F316" s="112" t="s">
        <v>43</v>
      </c>
      <c r="G316" s="117" t="s">
        <v>25</v>
      </c>
      <c r="H316" s="111" t="s">
        <v>26</v>
      </c>
      <c r="I316" s="114" t="s">
        <v>1438</v>
      </c>
      <c r="J316" s="115" t="s">
        <v>1439</v>
      </c>
      <c r="K316" s="117" t="s">
        <v>29</v>
      </c>
      <c r="L316" s="111" t="s">
        <v>39</v>
      </c>
      <c r="M316" s="111" t="s">
        <v>31</v>
      </c>
      <c r="N316" s="438"/>
      <c r="O316" s="438"/>
      <c r="P316" s="438"/>
      <c r="Q316" s="438"/>
      <c r="R316" s="438"/>
      <c r="S316" s="112"/>
      <c r="T316" s="117"/>
      <c r="U316" s="111"/>
      <c r="V316" s="111" t="s">
        <v>883</v>
      </c>
      <c r="W316" s="111" t="s">
        <v>1440</v>
      </c>
      <c r="X316" s="111" t="s">
        <v>1441</v>
      </c>
      <c r="Y316" s="112">
        <v>51</v>
      </c>
      <c r="Z316" s="116">
        <v>0</v>
      </c>
      <c r="AA316" s="112">
        <v>72</v>
      </c>
      <c r="AB316" s="116">
        <v>37.5</v>
      </c>
    </row>
    <row r="317" spans="1:28" s="437" customFormat="1" x14ac:dyDescent="0.25">
      <c r="A317" s="460"/>
      <c r="B317" s="111" t="s">
        <v>153</v>
      </c>
      <c r="C317" s="112">
        <v>1</v>
      </c>
      <c r="D317" s="113">
        <v>67861591</v>
      </c>
      <c r="E317" s="112" t="s">
        <v>23</v>
      </c>
      <c r="F317" s="112" t="s">
        <v>35</v>
      </c>
      <c r="G317" s="117" t="s">
        <v>25</v>
      </c>
      <c r="H317" s="111" t="s">
        <v>1442</v>
      </c>
      <c r="I317" s="114" t="s">
        <v>1443</v>
      </c>
      <c r="J317" s="115" t="s">
        <v>1444</v>
      </c>
      <c r="K317" s="117" t="s">
        <v>29</v>
      </c>
      <c r="L317" s="111" t="s">
        <v>30</v>
      </c>
      <c r="M317" s="111" t="s">
        <v>56</v>
      </c>
      <c r="N317" s="438"/>
      <c r="O317" s="438"/>
      <c r="P317" s="438"/>
      <c r="Q317" s="438"/>
      <c r="R317" s="438"/>
      <c r="S317" s="112"/>
      <c r="T317" s="117"/>
      <c r="U317" s="111"/>
      <c r="V317" s="111" t="s">
        <v>1445</v>
      </c>
      <c r="W317" s="111" t="s">
        <v>1446</v>
      </c>
      <c r="X317" s="111" t="s">
        <v>1447</v>
      </c>
      <c r="Y317" s="112">
        <v>40</v>
      </c>
      <c r="Z317" s="116">
        <v>0</v>
      </c>
      <c r="AA317" s="112">
        <v>81</v>
      </c>
      <c r="AB317" s="116">
        <v>22.22</v>
      </c>
    </row>
    <row r="318" spans="1:28" s="437" customFormat="1" x14ac:dyDescent="0.25">
      <c r="A318" s="460"/>
      <c r="B318" s="111" t="s">
        <v>153</v>
      </c>
      <c r="C318" s="112">
        <v>1</v>
      </c>
      <c r="D318" s="113">
        <v>100624813</v>
      </c>
      <c r="E318" s="112" t="s">
        <v>35</v>
      </c>
      <c r="F318" s="112" t="s">
        <v>24</v>
      </c>
      <c r="G318" s="117" t="s">
        <v>25</v>
      </c>
      <c r="H318" s="111" t="s">
        <v>565</v>
      </c>
      <c r="I318" s="114" t="s">
        <v>1448</v>
      </c>
      <c r="J318" s="115"/>
      <c r="K318" s="111" t="s">
        <v>485</v>
      </c>
      <c r="L318" s="111"/>
      <c r="M318" s="111"/>
      <c r="N318" s="438"/>
      <c r="O318" s="438"/>
      <c r="P318" s="438"/>
      <c r="Q318" s="438"/>
      <c r="R318" s="438"/>
      <c r="S318" s="112"/>
      <c r="T318" s="117"/>
      <c r="U318" s="111"/>
      <c r="V318" s="111" t="s">
        <v>501</v>
      </c>
      <c r="W318" s="111" t="s">
        <v>1449</v>
      </c>
      <c r="X318" s="111" t="s">
        <v>1450</v>
      </c>
      <c r="Y318" s="112">
        <v>47</v>
      </c>
      <c r="Z318" s="116">
        <v>0</v>
      </c>
      <c r="AA318" s="112">
        <v>111</v>
      </c>
      <c r="AB318" s="116">
        <v>21.62</v>
      </c>
    </row>
    <row r="319" spans="1:28" s="437" customFormat="1" x14ac:dyDescent="0.25">
      <c r="A319" s="460"/>
      <c r="B319" s="111" t="s">
        <v>153</v>
      </c>
      <c r="C319" s="112">
        <v>1</v>
      </c>
      <c r="D319" s="113">
        <v>158582719</v>
      </c>
      <c r="E319" s="112" t="s">
        <v>43</v>
      </c>
      <c r="F319" s="112" t="s">
        <v>24</v>
      </c>
      <c r="G319" s="117" t="s">
        <v>25</v>
      </c>
      <c r="H319" s="111" t="s">
        <v>26</v>
      </c>
      <c r="I319" s="114" t="s">
        <v>1451</v>
      </c>
      <c r="J319" s="115" t="s">
        <v>1452</v>
      </c>
      <c r="K319" s="117" t="s">
        <v>29</v>
      </c>
      <c r="L319" s="111" t="s">
        <v>39</v>
      </c>
      <c r="M319" s="111" t="s">
        <v>51</v>
      </c>
      <c r="N319" s="438"/>
      <c r="O319" s="438"/>
      <c r="P319" s="438"/>
      <c r="Q319" s="438"/>
      <c r="R319" s="438"/>
      <c r="S319" s="112"/>
      <c r="T319" s="117"/>
      <c r="U319" s="111"/>
      <c r="V319" s="111" t="s">
        <v>165</v>
      </c>
      <c r="W319" s="111" t="s">
        <v>1453</v>
      </c>
      <c r="X319" s="111" t="s">
        <v>1454</v>
      </c>
      <c r="Y319" s="112">
        <v>56</v>
      </c>
      <c r="Z319" s="116">
        <v>0</v>
      </c>
      <c r="AA319" s="112">
        <v>93</v>
      </c>
      <c r="AB319" s="116">
        <v>13.98</v>
      </c>
    </row>
    <row r="320" spans="1:28" s="437" customFormat="1" x14ac:dyDescent="0.25">
      <c r="A320" s="460"/>
      <c r="B320" s="111" t="s">
        <v>153</v>
      </c>
      <c r="C320" s="112">
        <v>1</v>
      </c>
      <c r="D320" s="113">
        <v>220363087</v>
      </c>
      <c r="E320" s="112" t="s">
        <v>23</v>
      </c>
      <c r="F320" s="112" t="s">
        <v>35</v>
      </c>
      <c r="G320" s="117" t="s">
        <v>25</v>
      </c>
      <c r="H320" s="111" t="s">
        <v>26</v>
      </c>
      <c r="I320" s="114" t="s">
        <v>1455</v>
      </c>
      <c r="J320" s="115" t="s">
        <v>1456</v>
      </c>
      <c r="K320" s="117" t="s">
        <v>29</v>
      </c>
      <c r="L320" s="111" t="s">
        <v>30</v>
      </c>
      <c r="M320" s="111" t="s">
        <v>51</v>
      </c>
      <c r="N320" s="438">
        <v>1265770531</v>
      </c>
      <c r="O320" s="438"/>
      <c r="P320" s="438"/>
      <c r="Q320" s="438"/>
      <c r="R320" s="438">
        <v>0</v>
      </c>
      <c r="S320" s="112"/>
      <c r="T320" s="117"/>
      <c r="U320" s="111"/>
      <c r="V320" s="111" t="s">
        <v>1457</v>
      </c>
      <c r="W320" s="111" t="s">
        <v>1458</v>
      </c>
      <c r="X320" s="111" t="s">
        <v>1459</v>
      </c>
      <c r="Y320" s="112">
        <v>34</v>
      </c>
      <c r="Z320" s="116">
        <v>0</v>
      </c>
      <c r="AA320" s="112">
        <v>71</v>
      </c>
      <c r="AB320" s="116">
        <v>16.899999999999999</v>
      </c>
    </row>
    <row r="321" spans="1:28" s="437" customFormat="1" x14ac:dyDescent="0.25">
      <c r="A321" s="460"/>
      <c r="B321" s="111" t="s">
        <v>153</v>
      </c>
      <c r="C321" s="112">
        <v>2</v>
      </c>
      <c r="D321" s="113">
        <v>3627808</v>
      </c>
      <c r="E321" s="112" t="s">
        <v>43</v>
      </c>
      <c r="F321" s="112" t="s">
        <v>24</v>
      </c>
      <c r="G321" s="117" t="s">
        <v>25</v>
      </c>
      <c r="H321" s="111" t="s">
        <v>26</v>
      </c>
      <c r="I321" s="114" t="s">
        <v>1460</v>
      </c>
      <c r="J321" s="115" t="s">
        <v>1461</v>
      </c>
      <c r="K321" s="117" t="s">
        <v>29</v>
      </c>
      <c r="L321" s="111" t="s">
        <v>30</v>
      </c>
      <c r="M321" s="111" t="s">
        <v>56</v>
      </c>
      <c r="N321" s="438"/>
      <c r="O321" s="438"/>
      <c r="P321" s="438"/>
      <c r="Q321" s="438"/>
      <c r="R321" s="438"/>
      <c r="S321" s="112"/>
      <c r="T321" s="117"/>
      <c r="U321" s="111"/>
      <c r="V321" s="111" t="s">
        <v>843</v>
      </c>
      <c r="W321" s="111" t="s">
        <v>1462</v>
      </c>
      <c r="X321" s="111" t="s">
        <v>1463</v>
      </c>
      <c r="Y321" s="112">
        <v>54</v>
      </c>
      <c r="Z321" s="116">
        <v>0</v>
      </c>
      <c r="AA321" s="112">
        <v>98</v>
      </c>
      <c r="AB321" s="116">
        <v>17.350000000000001</v>
      </c>
    </row>
    <row r="322" spans="1:28" s="437" customFormat="1" x14ac:dyDescent="0.25">
      <c r="A322" s="460"/>
      <c r="B322" s="111" t="s">
        <v>153</v>
      </c>
      <c r="C322" s="112">
        <v>2</v>
      </c>
      <c r="D322" s="113">
        <v>54096593</v>
      </c>
      <c r="E322" s="112" t="s">
        <v>35</v>
      </c>
      <c r="F322" s="112" t="s">
        <v>43</v>
      </c>
      <c r="G322" s="117" t="s">
        <v>25</v>
      </c>
      <c r="H322" s="111" t="s">
        <v>26</v>
      </c>
      <c r="I322" s="114" t="s">
        <v>1464</v>
      </c>
      <c r="J322" s="115" t="s">
        <v>1465</v>
      </c>
      <c r="K322" s="117" t="s">
        <v>29</v>
      </c>
      <c r="L322" s="111" t="s">
        <v>30</v>
      </c>
      <c r="M322" s="111" t="s">
        <v>31</v>
      </c>
      <c r="N322" s="438"/>
      <c r="O322" s="438"/>
      <c r="P322" s="438"/>
      <c r="Q322" s="438"/>
      <c r="R322" s="438"/>
      <c r="S322" s="112"/>
      <c r="T322" s="117"/>
      <c r="U322" s="111"/>
      <c r="V322" s="111" t="s">
        <v>1466</v>
      </c>
      <c r="W322" s="111" t="s">
        <v>1467</v>
      </c>
      <c r="X322" s="111" t="s">
        <v>1468</v>
      </c>
      <c r="Y322" s="112">
        <v>35</v>
      </c>
      <c r="Z322" s="116">
        <v>0</v>
      </c>
      <c r="AA322" s="112">
        <v>84</v>
      </c>
      <c r="AB322" s="116">
        <v>29.76</v>
      </c>
    </row>
    <row r="323" spans="1:28" s="437" customFormat="1" x14ac:dyDescent="0.25">
      <c r="A323" s="460"/>
      <c r="B323" s="111" t="s">
        <v>153</v>
      </c>
      <c r="C323" s="112">
        <v>2</v>
      </c>
      <c r="D323" s="113">
        <v>168105929</v>
      </c>
      <c r="E323" s="112" t="s">
        <v>35</v>
      </c>
      <c r="F323" s="112" t="s">
        <v>23</v>
      </c>
      <c r="G323" s="117" t="s">
        <v>25</v>
      </c>
      <c r="H323" s="111" t="s">
        <v>589</v>
      </c>
      <c r="I323" s="114" t="s">
        <v>1469</v>
      </c>
      <c r="J323" s="115" t="s">
        <v>1470</v>
      </c>
      <c r="K323" s="117" t="s">
        <v>29</v>
      </c>
      <c r="L323" s="111"/>
      <c r="M323" s="111"/>
      <c r="N323" s="438"/>
      <c r="O323" s="438"/>
      <c r="P323" s="438"/>
      <c r="Q323" s="438"/>
      <c r="R323" s="438"/>
      <c r="S323" s="112"/>
      <c r="T323" s="117"/>
      <c r="U323" s="111"/>
      <c r="V323" s="111" t="s">
        <v>70</v>
      </c>
      <c r="W323" s="111" t="s">
        <v>1471</v>
      </c>
      <c r="X323" s="111" t="s">
        <v>1472</v>
      </c>
      <c r="Y323" s="112">
        <v>38</v>
      </c>
      <c r="Z323" s="116">
        <v>0</v>
      </c>
      <c r="AA323" s="112">
        <v>100</v>
      </c>
      <c r="AB323" s="116">
        <v>27</v>
      </c>
    </row>
    <row r="324" spans="1:28" s="437" customFormat="1" x14ac:dyDescent="0.25">
      <c r="A324" s="460"/>
      <c r="B324" s="111" t="s">
        <v>153</v>
      </c>
      <c r="C324" s="112">
        <v>2</v>
      </c>
      <c r="D324" s="113">
        <v>179736266</v>
      </c>
      <c r="E324" s="112" t="s">
        <v>35</v>
      </c>
      <c r="F324" s="112" t="s">
        <v>24</v>
      </c>
      <c r="G324" s="117" t="s">
        <v>25</v>
      </c>
      <c r="H324" s="111" t="s">
        <v>26</v>
      </c>
      <c r="I324" s="114" t="s">
        <v>1473</v>
      </c>
      <c r="J324" s="115" t="s">
        <v>1474</v>
      </c>
      <c r="K324" s="117" t="s">
        <v>109</v>
      </c>
      <c r="L324" s="111"/>
      <c r="M324" s="111"/>
      <c r="N324" s="438"/>
      <c r="O324" s="438"/>
      <c r="P324" s="438"/>
      <c r="Q324" s="438"/>
      <c r="R324" s="438"/>
      <c r="S324" s="112"/>
      <c r="T324" s="117"/>
      <c r="U324" s="111"/>
      <c r="V324" s="111" t="s">
        <v>1475</v>
      </c>
      <c r="W324" s="111" t="s">
        <v>1476</v>
      </c>
      <c r="X324" s="111" t="s">
        <v>1477</v>
      </c>
      <c r="Y324" s="112">
        <v>53</v>
      </c>
      <c r="Z324" s="116">
        <v>0</v>
      </c>
      <c r="AA324" s="112">
        <v>77</v>
      </c>
      <c r="AB324" s="116">
        <v>22.08</v>
      </c>
    </row>
    <row r="325" spans="1:28" s="437" customFormat="1" x14ac:dyDescent="0.25">
      <c r="A325" s="460"/>
      <c r="B325" s="111" t="s">
        <v>153</v>
      </c>
      <c r="C325" s="112">
        <v>2</v>
      </c>
      <c r="D325" s="113">
        <v>242743169</v>
      </c>
      <c r="E325" s="112" t="s">
        <v>23</v>
      </c>
      <c r="F325" s="112" t="s">
        <v>24</v>
      </c>
      <c r="G325" s="117" t="s">
        <v>25</v>
      </c>
      <c r="H325" s="111" t="s">
        <v>26</v>
      </c>
      <c r="I325" s="114" t="s">
        <v>1478</v>
      </c>
      <c r="J325" s="115" t="s">
        <v>1479</v>
      </c>
      <c r="K325" s="117" t="s">
        <v>29</v>
      </c>
      <c r="L325" s="111" t="s">
        <v>39</v>
      </c>
      <c r="M325" s="111" t="s">
        <v>51</v>
      </c>
      <c r="N325" s="438">
        <v>200028725</v>
      </c>
      <c r="O325" s="438" t="s">
        <v>4206</v>
      </c>
      <c r="P325" s="438" t="s">
        <v>4207</v>
      </c>
      <c r="Q325" s="438" t="s">
        <v>4208</v>
      </c>
      <c r="R325" s="438" t="s">
        <v>4209</v>
      </c>
      <c r="S325" s="112"/>
      <c r="T325" s="117"/>
      <c r="U325" s="111"/>
      <c r="V325" s="111" t="s">
        <v>1480</v>
      </c>
      <c r="W325" s="111" t="s">
        <v>1481</v>
      </c>
      <c r="X325" s="111" t="s">
        <v>1482</v>
      </c>
      <c r="Y325" s="112">
        <v>22</v>
      </c>
      <c r="Z325" s="116">
        <v>0</v>
      </c>
      <c r="AA325" s="112">
        <v>95</v>
      </c>
      <c r="AB325" s="116">
        <v>44.21</v>
      </c>
    </row>
    <row r="326" spans="1:28" s="437" customFormat="1" x14ac:dyDescent="0.25">
      <c r="A326" s="460"/>
      <c r="B326" s="111" t="s">
        <v>153</v>
      </c>
      <c r="C326" s="112">
        <v>3</v>
      </c>
      <c r="D326" s="113">
        <v>50326911</v>
      </c>
      <c r="E326" s="112" t="s">
        <v>23</v>
      </c>
      <c r="F326" s="112" t="s">
        <v>35</v>
      </c>
      <c r="G326" s="117" t="s">
        <v>25</v>
      </c>
      <c r="H326" s="111" t="s">
        <v>26</v>
      </c>
      <c r="I326" s="114" t="s">
        <v>1483</v>
      </c>
      <c r="J326" s="115" t="s">
        <v>1484</v>
      </c>
      <c r="K326" s="117" t="s">
        <v>29</v>
      </c>
      <c r="L326" s="111" t="s">
        <v>30</v>
      </c>
      <c r="M326" s="111" t="s">
        <v>56</v>
      </c>
      <c r="N326" s="438"/>
      <c r="O326" s="438"/>
      <c r="P326" s="438"/>
      <c r="Q326" s="438"/>
      <c r="R326" s="438"/>
      <c r="S326" s="112"/>
      <c r="T326" s="117"/>
      <c r="U326" s="111"/>
      <c r="V326" s="111" t="s">
        <v>618</v>
      </c>
      <c r="W326" s="111" t="s">
        <v>1485</v>
      </c>
      <c r="X326" s="111" t="s">
        <v>1486</v>
      </c>
      <c r="Y326" s="112">
        <v>29</v>
      </c>
      <c r="Z326" s="116">
        <v>0</v>
      </c>
      <c r="AA326" s="112">
        <v>86</v>
      </c>
      <c r="AB326" s="116">
        <v>27.91</v>
      </c>
    </row>
    <row r="327" spans="1:28" s="437" customFormat="1" x14ac:dyDescent="0.25">
      <c r="A327" s="460"/>
      <c r="B327" s="111" t="s">
        <v>153</v>
      </c>
      <c r="C327" s="112">
        <v>4</v>
      </c>
      <c r="D327" s="113">
        <v>26741528</v>
      </c>
      <c r="E327" s="112" t="s">
        <v>35</v>
      </c>
      <c r="F327" s="112" t="s">
        <v>43</v>
      </c>
      <c r="G327" s="117" t="s">
        <v>25</v>
      </c>
      <c r="H327" s="111" t="s">
        <v>26</v>
      </c>
      <c r="I327" s="114" t="s">
        <v>1487</v>
      </c>
      <c r="J327" s="115" t="s">
        <v>1488</v>
      </c>
      <c r="K327" s="117" t="s">
        <v>29</v>
      </c>
      <c r="L327" s="111" t="s">
        <v>30</v>
      </c>
      <c r="M327" s="111" t="s">
        <v>56</v>
      </c>
      <c r="N327" s="438">
        <v>1451290787</v>
      </c>
      <c r="O327" s="438"/>
      <c r="P327" s="438"/>
      <c r="Q327" s="438"/>
      <c r="R327" s="438"/>
      <c r="S327" s="112"/>
      <c r="T327" s="117"/>
      <c r="U327" s="111"/>
      <c r="V327" s="111" t="s">
        <v>603</v>
      </c>
      <c r="W327" s="111" t="s">
        <v>1489</v>
      </c>
      <c r="X327" s="111" t="s">
        <v>1490</v>
      </c>
      <c r="Y327" s="112">
        <v>42</v>
      </c>
      <c r="Z327" s="116">
        <v>0</v>
      </c>
      <c r="AA327" s="112">
        <v>85</v>
      </c>
      <c r="AB327" s="116">
        <v>16.47</v>
      </c>
    </row>
    <row r="328" spans="1:28" s="437" customFormat="1" x14ac:dyDescent="0.25">
      <c r="A328" s="460"/>
      <c r="B328" s="111" t="s">
        <v>153</v>
      </c>
      <c r="C328" s="112">
        <v>4</v>
      </c>
      <c r="D328" s="113">
        <v>74847177</v>
      </c>
      <c r="E328" s="112" t="s">
        <v>23</v>
      </c>
      <c r="F328" s="112" t="s">
        <v>24</v>
      </c>
      <c r="G328" s="117" t="s">
        <v>25</v>
      </c>
      <c r="H328" s="111" t="s">
        <v>26</v>
      </c>
      <c r="I328" s="114" t="s">
        <v>1491</v>
      </c>
      <c r="J328" s="115" t="s">
        <v>1492</v>
      </c>
      <c r="K328" s="117" t="s">
        <v>29</v>
      </c>
      <c r="L328" s="111" t="s">
        <v>39</v>
      </c>
      <c r="M328" s="111" t="s">
        <v>31</v>
      </c>
      <c r="N328" s="438"/>
      <c r="O328" s="438"/>
      <c r="P328" s="438"/>
      <c r="Q328" s="438"/>
      <c r="R328" s="438"/>
      <c r="S328" s="112"/>
      <c r="T328" s="117"/>
      <c r="U328" s="111"/>
      <c r="V328" s="111" t="s">
        <v>208</v>
      </c>
      <c r="W328" s="111" t="s">
        <v>1493</v>
      </c>
      <c r="X328" s="111" t="s">
        <v>1494</v>
      </c>
      <c r="Y328" s="112">
        <v>36</v>
      </c>
      <c r="Z328" s="116">
        <v>0</v>
      </c>
      <c r="AA328" s="112">
        <v>81</v>
      </c>
      <c r="AB328" s="116">
        <v>25.93</v>
      </c>
    </row>
    <row r="329" spans="1:28" s="437" customFormat="1" x14ac:dyDescent="0.25">
      <c r="A329" s="460"/>
      <c r="B329" s="111" t="s">
        <v>153</v>
      </c>
      <c r="C329" s="112">
        <v>4</v>
      </c>
      <c r="D329" s="113">
        <v>85634313</v>
      </c>
      <c r="E329" s="112" t="s">
        <v>23</v>
      </c>
      <c r="F329" s="112" t="s">
        <v>35</v>
      </c>
      <c r="G329" s="117" t="s">
        <v>25</v>
      </c>
      <c r="H329" s="111" t="s">
        <v>26</v>
      </c>
      <c r="I329" s="114" t="s">
        <v>1495</v>
      </c>
      <c r="J329" s="115" t="s">
        <v>1496</v>
      </c>
      <c r="K329" s="117" t="s">
        <v>109</v>
      </c>
      <c r="L329" s="111"/>
      <c r="M329" s="111"/>
      <c r="N329" s="438"/>
      <c r="O329" s="438"/>
      <c r="P329" s="438"/>
      <c r="Q329" s="438"/>
      <c r="R329" s="438"/>
      <c r="S329" s="112"/>
      <c r="T329" s="117"/>
      <c r="U329" s="111"/>
      <c r="V329" s="111" t="s">
        <v>1497</v>
      </c>
      <c r="W329" s="111" t="s">
        <v>1498</v>
      </c>
      <c r="X329" s="111" t="s">
        <v>1499</v>
      </c>
      <c r="Y329" s="112">
        <v>44</v>
      </c>
      <c r="Z329" s="116">
        <v>0</v>
      </c>
      <c r="AA329" s="112">
        <v>97</v>
      </c>
      <c r="AB329" s="116">
        <v>19.59</v>
      </c>
    </row>
    <row r="330" spans="1:28" s="437" customFormat="1" x14ac:dyDescent="0.25">
      <c r="A330" s="460"/>
      <c r="B330" s="111" t="s">
        <v>153</v>
      </c>
      <c r="C330" s="112">
        <v>5</v>
      </c>
      <c r="D330" s="113">
        <v>38918966</v>
      </c>
      <c r="E330" s="112" t="s">
        <v>43</v>
      </c>
      <c r="F330" s="112" t="s">
        <v>35</v>
      </c>
      <c r="G330" s="117" t="s">
        <v>25</v>
      </c>
      <c r="H330" s="111" t="s">
        <v>26</v>
      </c>
      <c r="I330" s="114" t="s">
        <v>1500</v>
      </c>
      <c r="J330" s="115" t="s">
        <v>1501</v>
      </c>
      <c r="K330" s="117" t="s">
        <v>29</v>
      </c>
      <c r="L330" s="111" t="s">
        <v>30</v>
      </c>
      <c r="M330" s="111" t="s">
        <v>56</v>
      </c>
      <c r="N330" s="438">
        <v>373810933</v>
      </c>
      <c r="O330" s="438"/>
      <c r="P330" s="438"/>
      <c r="Q330" s="438"/>
      <c r="R330" s="438"/>
      <c r="S330" s="112"/>
      <c r="T330" s="117"/>
      <c r="U330" s="111"/>
      <c r="V330" s="111" t="s">
        <v>104</v>
      </c>
      <c r="W330" s="111" t="s">
        <v>1502</v>
      </c>
      <c r="X330" s="111" t="s">
        <v>1503</v>
      </c>
      <c r="Y330" s="112">
        <v>40</v>
      </c>
      <c r="Z330" s="116">
        <v>0</v>
      </c>
      <c r="AA330" s="112">
        <v>70</v>
      </c>
      <c r="AB330" s="116">
        <v>18.57</v>
      </c>
    </row>
    <row r="331" spans="1:28" s="437" customFormat="1" x14ac:dyDescent="0.25">
      <c r="A331" s="460"/>
      <c r="B331" s="111" t="s">
        <v>153</v>
      </c>
      <c r="C331" s="112">
        <v>5</v>
      </c>
      <c r="D331" s="113">
        <v>80550939</v>
      </c>
      <c r="E331" s="112" t="s">
        <v>23</v>
      </c>
      <c r="F331" s="112" t="s">
        <v>24</v>
      </c>
      <c r="G331" s="117" t="s">
        <v>25</v>
      </c>
      <c r="H331" s="111" t="s">
        <v>26</v>
      </c>
      <c r="I331" s="114" t="s">
        <v>1504</v>
      </c>
      <c r="J331" s="115" t="s">
        <v>1505</v>
      </c>
      <c r="K331" s="117" t="s">
        <v>29</v>
      </c>
      <c r="L331" s="111" t="s">
        <v>92</v>
      </c>
      <c r="M331" s="111" t="s">
        <v>51</v>
      </c>
      <c r="N331" s="438"/>
      <c r="O331" s="438"/>
      <c r="P331" s="438"/>
      <c r="Q331" s="438"/>
      <c r="R331" s="438"/>
      <c r="S331" s="112"/>
      <c r="T331" s="117"/>
      <c r="U331" s="111"/>
      <c r="V331" s="111" t="s">
        <v>608</v>
      </c>
      <c r="W331" s="111" t="s">
        <v>1506</v>
      </c>
      <c r="X331" s="111" t="s">
        <v>1507</v>
      </c>
      <c r="Y331" s="112">
        <v>33</v>
      </c>
      <c r="Z331" s="116">
        <v>0</v>
      </c>
      <c r="AA331" s="112">
        <v>85</v>
      </c>
      <c r="AB331" s="116">
        <v>20</v>
      </c>
    </row>
    <row r="332" spans="1:28" s="437" customFormat="1" x14ac:dyDescent="0.25">
      <c r="A332" s="460"/>
      <c r="B332" s="111" t="s">
        <v>153</v>
      </c>
      <c r="C332" s="112">
        <v>5</v>
      </c>
      <c r="D332" s="113">
        <v>134870812</v>
      </c>
      <c r="E332" s="112" t="s">
        <v>43</v>
      </c>
      <c r="F332" s="112" t="s">
        <v>24</v>
      </c>
      <c r="G332" s="117" t="s">
        <v>25</v>
      </c>
      <c r="H332" s="111" t="s">
        <v>26</v>
      </c>
      <c r="I332" s="114" t="s">
        <v>1508</v>
      </c>
      <c r="J332" s="115" t="s">
        <v>1509</v>
      </c>
      <c r="K332" s="117" t="s">
        <v>29</v>
      </c>
      <c r="L332" s="111" t="s">
        <v>39</v>
      </c>
      <c r="M332" s="111" t="s">
        <v>51</v>
      </c>
      <c r="N332" s="438"/>
      <c r="O332" s="438"/>
      <c r="P332" s="438"/>
      <c r="Q332" s="438"/>
      <c r="R332" s="438"/>
      <c r="S332" s="112"/>
      <c r="T332" s="117"/>
      <c r="U332" s="111"/>
      <c r="V332" s="111" t="s">
        <v>979</v>
      </c>
      <c r="W332" s="111" t="s">
        <v>1510</v>
      </c>
      <c r="X332" s="111" t="s">
        <v>1511</v>
      </c>
      <c r="Y332" s="112">
        <v>36</v>
      </c>
      <c r="Z332" s="116">
        <v>0</v>
      </c>
      <c r="AA332" s="112">
        <v>88</v>
      </c>
      <c r="AB332" s="116">
        <v>11.36</v>
      </c>
    </row>
    <row r="333" spans="1:28" s="437" customFormat="1" x14ac:dyDescent="0.25">
      <c r="A333" s="460"/>
      <c r="B333" s="111" t="s">
        <v>153</v>
      </c>
      <c r="C333" s="112">
        <v>5</v>
      </c>
      <c r="D333" s="113">
        <v>140741790</v>
      </c>
      <c r="E333" s="112" t="s">
        <v>43</v>
      </c>
      <c r="F333" s="112"/>
      <c r="G333" s="117" t="s">
        <v>61</v>
      </c>
      <c r="H333" s="111" t="s">
        <v>589</v>
      </c>
      <c r="I333" s="114" t="s">
        <v>1512</v>
      </c>
      <c r="J333" s="115" t="s">
        <v>1513</v>
      </c>
      <c r="K333" s="117" t="s">
        <v>81</v>
      </c>
      <c r="L333" s="111"/>
      <c r="M333" s="111"/>
      <c r="N333" s="438"/>
      <c r="O333" s="438"/>
      <c r="P333" s="438"/>
      <c r="Q333" s="438"/>
      <c r="R333" s="438"/>
      <c r="S333" s="112"/>
      <c r="T333" s="117"/>
      <c r="U333" s="111"/>
      <c r="V333" s="111" t="s">
        <v>597</v>
      </c>
      <c r="W333" s="111" t="s">
        <v>1514</v>
      </c>
      <c r="X333" s="111" t="s">
        <v>1515</v>
      </c>
      <c r="Y333" s="112">
        <v>30</v>
      </c>
      <c r="Z333" s="116">
        <v>0</v>
      </c>
      <c r="AA333" s="112">
        <v>88</v>
      </c>
      <c r="AB333" s="116">
        <v>17.05</v>
      </c>
    </row>
    <row r="334" spans="1:28" s="437" customFormat="1" x14ac:dyDescent="0.25">
      <c r="A334" s="460"/>
      <c r="B334" s="111" t="s">
        <v>153</v>
      </c>
      <c r="C334" s="112">
        <v>5</v>
      </c>
      <c r="D334" s="113">
        <v>140779102</v>
      </c>
      <c r="E334" s="112" t="s">
        <v>43</v>
      </c>
      <c r="F334" s="112" t="s">
        <v>24</v>
      </c>
      <c r="G334" s="117" t="s">
        <v>25</v>
      </c>
      <c r="H334" s="111" t="s">
        <v>589</v>
      </c>
      <c r="I334" s="114" t="s">
        <v>1516</v>
      </c>
      <c r="J334" s="115" t="s">
        <v>1517</v>
      </c>
      <c r="K334" s="117" t="s">
        <v>29</v>
      </c>
      <c r="L334" s="111" t="s">
        <v>30</v>
      </c>
      <c r="M334" s="111" t="s">
        <v>56</v>
      </c>
      <c r="N334" s="438"/>
      <c r="O334" s="438"/>
      <c r="P334" s="438"/>
      <c r="Q334" s="438"/>
      <c r="R334" s="438"/>
      <c r="S334" s="112"/>
      <c r="T334" s="117"/>
      <c r="U334" s="111"/>
      <c r="V334" s="111" t="s">
        <v>597</v>
      </c>
      <c r="W334" s="111" t="s">
        <v>1518</v>
      </c>
      <c r="X334" s="111" t="s">
        <v>1519</v>
      </c>
      <c r="Y334" s="112">
        <v>39</v>
      </c>
      <c r="Z334" s="116">
        <v>0</v>
      </c>
      <c r="AA334" s="112">
        <v>102</v>
      </c>
      <c r="AB334" s="116">
        <v>27.45</v>
      </c>
    </row>
    <row r="335" spans="1:28" s="437" customFormat="1" ht="30" x14ac:dyDescent="0.25">
      <c r="A335" s="460"/>
      <c r="B335" s="111" t="s">
        <v>153</v>
      </c>
      <c r="C335" s="112">
        <v>5</v>
      </c>
      <c r="D335" s="113">
        <v>158603839</v>
      </c>
      <c r="E335" s="112" t="s">
        <v>35</v>
      </c>
      <c r="F335" s="112" t="s">
        <v>43</v>
      </c>
      <c r="G335" s="117" t="s">
        <v>25</v>
      </c>
      <c r="H335" s="111" t="s">
        <v>26</v>
      </c>
      <c r="I335" s="114" t="s">
        <v>832</v>
      </c>
      <c r="J335" s="115" t="s">
        <v>1520</v>
      </c>
      <c r="K335" s="117" t="s">
        <v>29</v>
      </c>
      <c r="L335" s="111" t="s">
        <v>30</v>
      </c>
      <c r="M335" s="111" t="s">
        <v>31</v>
      </c>
      <c r="N335" s="438"/>
      <c r="O335" s="438"/>
      <c r="P335" s="438"/>
      <c r="Q335" s="438"/>
      <c r="R335" s="438"/>
      <c r="S335" s="112"/>
      <c r="T335" s="117">
        <v>736984</v>
      </c>
      <c r="U335" s="111"/>
      <c r="V335" s="111" t="s">
        <v>46</v>
      </c>
      <c r="W335" s="111" t="s">
        <v>834</v>
      </c>
      <c r="X335" s="111" t="s">
        <v>1521</v>
      </c>
      <c r="Y335" s="112">
        <v>31</v>
      </c>
      <c r="Z335" s="116">
        <v>0</v>
      </c>
      <c r="AA335" s="112">
        <v>107</v>
      </c>
      <c r="AB335" s="116">
        <v>10.28</v>
      </c>
    </row>
    <row r="336" spans="1:28" s="437" customFormat="1" x14ac:dyDescent="0.25">
      <c r="A336" s="460"/>
      <c r="B336" s="111" t="s">
        <v>153</v>
      </c>
      <c r="C336" s="112">
        <v>6</v>
      </c>
      <c r="D336" s="113">
        <v>151865736</v>
      </c>
      <c r="E336" s="112" t="s">
        <v>35</v>
      </c>
      <c r="F336" s="112" t="s">
        <v>43</v>
      </c>
      <c r="G336" s="117" t="s">
        <v>25</v>
      </c>
      <c r="H336" s="111" t="s">
        <v>26</v>
      </c>
      <c r="I336" s="114" t="s">
        <v>1522</v>
      </c>
      <c r="J336" s="115" t="s">
        <v>1523</v>
      </c>
      <c r="K336" s="117" t="s">
        <v>29</v>
      </c>
      <c r="L336" s="111" t="s">
        <v>39</v>
      </c>
      <c r="M336" s="111" t="s">
        <v>31</v>
      </c>
      <c r="N336" s="438"/>
      <c r="O336" s="438"/>
      <c r="P336" s="438"/>
      <c r="Q336" s="438"/>
      <c r="R336" s="438"/>
      <c r="S336" s="112"/>
      <c r="T336" s="117"/>
      <c r="U336" s="111"/>
      <c r="V336" s="111" t="s">
        <v>82</v>
      </c>
      <c r="W336" s="111" t="s">
        <v>1524</v>
      </c>
      <c r="X336" s="111" t="s">
        <v>1525</v>
      </c>
      <c r="Y336" s="112">
        <v>35</v>
      </c>
      <c r="Z336" s="116">
        <v>0</v>
      </c>
      <c r="AA336" s="112">
        <v>111</v>
      </c>
      <c r="AB336" s="116">
        <v>18.920000000000002</v>
      </c>
    </row>
    <row r="337" spans="1:28" s="437" customFormat="1" x14ac:dyDescent="0.25">
      <c r="A337" s="460"/>
      <c r="B337" s="111" t="s">
        <v>153</v>
      </c>
      <c r="C337" s="112">
        <v>7</v>
      </c>
      <c r="D337" s="113">
        <v>73101373</v>
      </c>
      <c r="E337" s="112" t="s">
        <v>43</v>
      </c>
      <c r="F337" s="112" t="s">
        <v>24</v>
      </c>
      <c r="G337" s="117" t="s">
        <v>25</v>
      </c>
      <c r="H337" s="111" t="s">
        <v>73</v>
      </c>
      <c r="I337" s="114" t="s">
        <v>1526</v>
      </c>
      <c r="J337" s="115" t="s">
        <v>1527</v>
      </c>
      <c r="K337" s="117" t="s">
        <v>29</v>
      </c>
      <c r="L337" s="111" t="s">
        <v>30</v>
      </c>
      <c r="M337" s="111" t="s">
        <v>56</v>
      </c>
      <c r="N337" s="436"/>
      <c r="O337" s="436"/>
      <c r="P337" s="436"/>
      <c r="Q337" s="436"/>
      <c r="R337" s="436"/>
      <c r="S337" s="112"/>
      <c r="T337" s="117"/>
      <c r="U337" s="111"/>
      <c r="V337" s="111" t="s">
        <v>141</v>
      </c>
      <c r="W337" s="111" t="s">
        <v>1528</v>
      </c>
      <c r="X337" s="111" t="s">
        <v>1529</v>
      </c>
      <c r="Y337" s="112">
        <v>19</v>
      </c>
      <c r="Z337" s="116">
        <v>0</v>
      </c>
      <c r="AA337" s="112">
        <v>65</v>
      </c>
      <c r="AB337" s="116">
        <v>29.23</v>
      </c>
    </row>
    <row r="338" spans="1:28" s="437" customFormat="1" x14ac:dyDescent="0.25">
      <c r="A338" s="460"/>
      <c r="B338" s="111" t="s">
        <v>153</v>
      </c>
      <c r="C338" s="112">
        <v>7</v>
      </c>
      <c r="D338" s="113">
        <v>127326801</v>
      </c>
      <c r="E338" s="112" t="s">
        <v>43</v>
      </c>
      <c r="F338" s="112" t="s">
        <v>24</v>
      </c>
      <c r="G338" s="117" t="s">
        <v>25</v>
      </c>
      <c r="H338" s="111" t="s">
        <v>26</v>
      </c>
      <c r="I338" s="114" t="s">
        <v>1530</v>
      </c>
      <c r="J338" s="115" t="s">
        <v>1531</v>
      </c>
      <c r="K338" s="117" t="s">
        <v>29</v>
      </c>
      <c r="L338" s="111" t="s">
        <v>39</v>
      </c>
      <c r="M338" s="111" t="s">
        <v>51</v>
      </c>
      <c r="N338" s="438"/>
      <c r="O338" s="438"/>
      <c r="P338" s="438"/>
      <c r="Q338" s="438"/>
      <c r="R338" s="438"/>
      <c r="S338" s="112"/>
      <c r="T338" s="117"/>
      <c r="U338" s="111"/>
      <c r="V338" s="111" t="s">
        <v>562</v>
      </c>
      <c r="W338" s="111" t="s">
        <v>1532</v>
      </c>
      <c r="X338" s="111" t="s">
        <v>1533</v>
      </c>
      <c r="Y338" s="112">
        <v>19</v>
      </c>
      <c r="Z338" s="116">
        <v>0</v>
      </c>
      <c r="AA338" s="112">
        <v>86</v>
      </c>
      <c r="AB338" s="116">
        <v>22.09</v>
      </c>
    </row>
    <row r="339" spans="1:28" s="437" customFormat="1" x14ac:dyDescent="0.25">
      <c r="A339" s="460"/>
      <c r="B339" s="111" t="s">
        <v>153</v>
      </c>
      <c r="C339" s="112">
        <v>9</v>
      </c>
      <c r="D339" s="113">
        <v>88881039</v>
      </c>
      <c r="E339" s="112" t="s">
        <v>24</v>
      </c>
      <c r="F339" s="112" t="s">
        <v>43</v>
      </c>
      <c r="G339" s="117" t="s">
        <v>25</v>
      </c>
      <c r="H339" s="111" t="s">
        <v>26</v>
      </c>
      <c r="I339" s="114" t="s">
        <v>1534</v>
      </c>
      <c r="J339" s="115" t="s">
        <v>1535</v>
      </c>
      <c r="K339" s="117" t="s">
        <v>29</v>
      </c>
      <c r="L339" s="111" t="s">
        <v>39</v>
      </c>
      <c r="M339" s="111" t="s">
        <v>51</v>
      </c>
      <c r="N339" s="438"/>
      <c r="O339" s="438"/>
      <c r="P339" s="438"/>
      <c r="Q339" s="438"/>
      <c r="R339" s="438"/>
      <c r="S339" s="112"/>
      <c r="T339" s="117"/>
      <c r="U339" s="111"/>
      <c r="V339" s="111" t="s">
        <v>1145</v>
      </c>
      <c r="W339" s="111" t="s">
        <v>1536</v>
      </c>
      <c r="X339" s="111" t="s">
        <v>1537</v>
      </c>
      <c r="Y339" s="112">
        <v>50</v>
      </c>
      <c r="Z339" s="116">
        <v>0</v>
      </c>
      <c r="AA339" s="112">
        <v>78</v>
      </c>
      <c r="AB339" s="116">
        <v>21.79</v>
      </c>
    </row>
    <row r="340" spans="1:28" s="437" customFormat="1" x14ac:dyDescent="0.25">
      <c r="A340" s="460"/>
      <c r="B340" s="111" t="s">
        <v>153</v>
      </c>
      <c r="C340" s="112">
        <v>9</v>
      </c>
      <c r="D340" s="113">
        <v>114873958</v>
      </c>
      <c r="E340" s="112" t="s">
        <v>23</v>
      </c>
      <c r="F340" s="112" t="s">
        <v>35</v>
      </c>
      <c r="G340" s="117" t="s">
        <v>25</v>
      </c>
      <c r="H340" s="111" t="s">
        <v>26</v>
      </c>
      <c r="I340" s="114" t="s">
        <v>1538</v>
      </c>
      <c r="J340" s="115" t="s">
        <v>1539</v>
      </c>
      <c r="K340" s="117" t="s">
        <v>29</v>
      </c>
      <c r="L340" s="111" t="s">
        <v>39</v>
      </c>
      <c r="M340" s="111" t="s">
        <v>51</v>
      </c>
      <c r="N340" s="438"/>
      <c r="O340" s="438"/>
      <c r="P340" s="438"/>
      <c r="Q340" s="438"/>
      <c r="R340" s="438"/>
      <c r="S340" s="112"/>
      <c r="T340" s="117"/>
      <c r="U340" s="111"/>
      <c r="V340" s="111" t="s">
        <v>597</v>
      </c>
      <c r="W340" s="111" t="s">
        <v>1540</v>
      </c>
      <c r="X340" s="111" t="s">
        <v>1541</v>
      </c>
      <c r="Y340" s="112">
        <v>36</v>
      </c>
      <c r="Z340" s="116">
        <v>0</v>
      </c>
      <c r="AA340" s="112">
        <v>88</v>
      </c>
      <c r="AB340" s="116">
        <v>21.59</v>
      </c>
    </row>
    <row r="341" spans="1:28" s="437" customFormat="1" x14ac:dyDescent="0.25">
      <c r="A341" s="460"/>
      <c r="B341" s="111" t="s">
        <v>153</v>
      </c>
      <c r="C341" s="112">
        <v>11</v>
      </c>
      <c r="D341" s="113">
        <v>60271277</v>
      </c>
      <c r="E341" s="112" t="s">
        <v>35</v>
      </c>
      <c r="F341" s="112" t="s">
        <v>43</v>
      </c>
      <c r="G341" s="117" t="s">
        <v>25</v>
      </c>
      <c r="H341" s="111" t="s">
        <v>26</v>
      </c>
      <c r="I341" s="114" t="s">
        <v>1542</v>
      </c>
      <c r="J341" s="115" t="s">
        <v>1543</v>
      </c>
      <c r="K341" s="117" t="s">
        <v>29</v>
      </c>
      <c r="L341" s="111" t="s">
        <v>39</v>
      </c>
      <c r="M341" s="111" t="s">
        <v>31</v>
      </c>
      <c r="N341" s="438"/>
      <c r="O341" s="438"/>
      <c r="P341" s="438"/>
      <c r="Q341" s="438"/>
      <c r="R341" s="438"/>
      <c r="S341" s="112"/>
      <c r="T341" s="117"/>
      <c r="U341" s="111"/>
      <c r="V341" s="111" t="s">
        <v>150</v>
      </c>
      <c r="W341" s="111" t="s">
        <v>1544</v>
      </c>
      <c r="X341" s="111" t="s">
        <v>1545</v>
      </c>
      <c r="Y341" s="112">
        <v>39</v>
      </c>
      <c r="Z341" s="116">
        <v>0</v>
      </c>
      <c r="AA341" s="112">
        <v>80</v>
      </c>
      <c r="AB341" s="116">
        <v>22.5</v>
      </c>
    </row>
    <row r="342" spans="1:28" s="437" customFormat="1" x14ac:dyDescent="0.25">
      <c r="A342" s="460"/>
      <c r="B342" s="111" t="s">
        <v>153</v>
      </c>
      <c r="C342" s="112">
        <v>11</v>
      </c>
      <c r="D342" s="113">
        <v>67188183</v>
      </c>
      <c r="E342" s="112" t="s">
        <v>23</v>
      </c>
      <c r="F342" s="112" t="s">
        <v>35</v>
      </c>
      <c r="G342" s="117" t="s">
        <v>25</v>
      </c>
      <c r="H342" s="111" t="s">
        <v>26</v>
      </c>
      <c r="I342" s="114" t="s">
        <v>85</v>
      </c>
      <c r="J342" s="115" t="s">
        <v>1546</v>
      </c>
      <c r="K342" s="117" t="s">
        <v>29</v>
      </c>
      <c r="L342" s="111" t="s">
        <v>39</v>
      </c>
      <c r="M342" s="111" t="s">
        <v>51</v>
      </c>
      <c r="N342" s="438"/>
      <c r="O342" s="438"/>
      <c r="P342" s="438"/>
      <c r="Q342" s="438"/>
      <c r="R342" s="438"/>
      <c r="S342" s="112"/>
      <c r="T342" s="117"/>
      <c r="U342" s="111"/>
      <c r="V342" s="111" t="s">
        <v>87</v>
      </c>
      <c r="W342" s="111" t="s">
        <v>88</v>
      </c>
      <c r="X342" s="111" t="s">
        <v>1547</v>
      </c>
      <c r="Y342" s="112">
        <v>31</v>
      </c>
      <c r="Z342" s="116">
        <v>0</v>
      </c>
      <c r="AA342" s="112">
        <v>63</v>
      </c>
      <c r="AB342" s="116">
        <v>20.63</v>
      </c>
    </row>
    <row r="343" spans="1:28" s="437" customFormat="1" x14ac:dyDescent="0.25">
      <c r="A343" s="460"/>
      <c r="B343" s="111" t="s">
        <v>153</v>
      </c>
      <c r="C343" s="112">
        <v>12</v>
      </c>
      <c r="D343" s="113">
        <v>9221411</v>
      </c>
      <c r="E343" s="112" t="s">
        <v>35</v>
      </c>
      <c r="F343" s="112" t="s">
        <v>43</v>
      </c>
      <c r="G343" s="117" t="s">
        <v>25</v>
      </c>
      <c r="H343" s="111" t="s">
        <v>26</v>
      </c>
      <c r="I343" s="114" t="s">
        <v>1548</v>
      </c>
      <c r="J343" s="115" t="s">
        <v>1549</v>
      </c>
      <c r="K343" s="117" t="s">
        <v>29</v>
      </c>
      <c r="L343" s="111"/>
      <c r="M343" s="111" t="s">
        <v>56</v>
      </c>
      <c r="N343" s="438">
        <v>1802965</v>
      </c>
      <c r="O343" s="438"/>
      <c r="P343" s="438"/>
      <c r="Q343" s="438"/>
      <c r="R343" s="438"/>
      <c r="S343" s="112"/>
      <c r="T343" s="117"/>
      <c r="U343" s="111"/>
      <c r="V343" s="111" t="s">
        <v>459</v>
      </c>
      <c r="W343" s="111" t="s">
        <v>1550</v>
      </c>
      <c r="X343" s="111" t="s">
        <v>1551</v>
      </c>
      <c r="Y343" s="112">
        <v>32</v>
      </c>
      <c r="Z343" s="116">
        <v>0</v>
      </c>
      <c r="AA343" s="112">
        <v>75</v>
      </c>
      <c r="AB343" s="116">
        <v>22.67</v>
      </c>
    </row>
    <row r="344" spans="1:28" s="437" customFormat="1" x14ac:dyDescent="0.25">
      <c r="A344" s="460"/>
      <c r="B344" s="111" t="s">
        <v>153</v>
      </c>
      <c r="C344" s="112">
        <v>12</v>
      </c>
      <c r="D344" s="113">
        <v>46245278</v>
      </c>
      <c r="E344" s="112" t="s">
        <v>43</v>
      </c>
      <c r="F344" s="112" t="s">
        <v>24</v>
      </c>
      <c r="G344" s="117" t="s">
        <v>25</v>
      </c>
      <c r="H344" s="111" t="s">
        <v>26</v>
      </c>
      <c r="I344" s="114" t="s">
        <v>1552</v>
      </c>
      <c r="J344" s="115" t="s">
        <v>1553</v>
      </c>
      <c r="K344" s="117" t="s">
        <v>29</v>
      </c>
      <c r="L344" s="111" t="s">
        <v>30</v>
      </c>
      <c r="M344" s="111" t="s">
        <v>56</v>
      </c>
      <c r="N344" s="438"/>
      <c r="O344" s="438"/>
      <c r="P344" s="438"/>
      <c r="Q344" s="438"/>
      <c r="R344" s="438"/>
      <c r="S344" s="112"/>
      <c r="T344" s="117"/>
      <c r="U344" s="111"/>
      <c r="V344" s="111" t="s">
        <v>468</v>
      </c>
      <c r="W344" s="111" t="s">
        <v>1554</v>
      </c>
      <c r="X344" s="111" t="s">
        <v>1555</v>
      </c>
      <c r="Y344" s="112">
        <v>45</v>
      </c>
      <c r="Z344" s="116">
        <v>0</v>
      </c>
      <c r="AA344" s="112">
        <v>52</v>
      </c>
      <c r="AB344" s="116">
        <v>28.85</v>
      </c>
    </row>
    <row r="345" spans="1:28" s="437" customFormat="1" x14ac:dyDescent="0.25">
      <c r="A345" s="460"/>
      <c r="B345" s="111" t="s">
        <v>153</v>
      </c>
      <c r="C345" s="112">
        <v>12</v>
      </c>
      <c r="D345" s="113">
        <v>52100275</v>
      </c>
      <c r="E345" s="112" t="s">
        <v>43</v>
      </c>
      <c r="F345" s="112"/>
      <c r="G345" s="117" t="s">
        <v>61</v>
      </c>
      <c r="H345" s="111" t="s">
        <v>26</v>
      </c>
      <c r="I345" s="114" t="s">
        <v>1556</v>
      </c>
      <c r="J345" s="115" t="s">
        <v>1557</v>
      </c>
      <c r="K345" s="117" t="s">
        <v>81</v>
      </c>
      <c r="L345" s="111"/>
      <c r="M345" s="111"/>
      <c r="N345" s="438"/>
      <c r="O345" s="438"/>
      <c r="P345" s="438"/>
      <c r="Q345" s="438"/>
      <c r="R345" s="438"/>
      <c r="S345" s="112"/>
      <c r="T345" s="117"/>
      <c r="U345" s="111"/>
      <c r="V345" s="111" t="s">
        <v>93</v>
      </c>
      <c r="W345" s="111" t="s">
        <v>1558</v>
      </c>
      <c r="X345" s="111" t="s">
        <v>1559</v>
      </c>
      <c r="Y345" s="112">
        <v>37</v>
      </c>
      <c r="Z345" s="116">
        <v>0</v>
      </c>
      <c r="AA345" s="112">
        <v>86</v>
      </c>
      <c r="AB345" s="116">
        <v>22.09</v>
      </c>
    </row>
    <row r="346" spans="1:28" s="437" customFormat="1" x14ac:dyDescent="0.25">
      <c r="A346" s="460"/>
      <c r="B346" s="111" t="s">
        <v>153</v>
      </c>
      <c r="C346" s="112">
        <v>12</v>
      </c>
      <c r="D346" s="113">
        <v>52100279</v>
      </c>
      <c r="E346" s="112" t="s">
        <v>43</v>
      </c>
      <c r="F346" s="112" t="s">
        <v>24</v>
      </c>
      <c r="G346" s="117" t="s">
        <v>25</v>
      </c>
      <c r="H346" s="111" t="s">
        <v>26</v>
      </c>
      <c r="I346" s="114" t="s">
        <v>1556</v>
      </c>
      <c r="J346" s="115" t="s">
        <v>1560</v>
      </c>
      <c r="K346" s="117" t="s">
        <v>29</v>
      </c>
      <c r="L346" s="111" t="s">
        <v>30</v>
      </c>
      <c r="M346" s="111" t="s">
        <v>51</v>
      </c>
      <c r="N346" s="438"/>
      <c r="O346" s="438"/>
      <c r="P346" s="438"/>
      <c r="Q346" s="438"/>
      <c r="R346" s="438"/>
      <c r="S346" s="112"/>
      <c r="T346" s="117"/>
      <c r="U346" s="111"/>
      <c r="V346" s="111" t="s">
        <v>93</v>
      </c>
      <c r="W346" s="111" t="s">
        <v>1558</v>
      </c>
      <c r="X346" s="111" t="s">
        <v>1561</v>
      </c>
      <c r="Y346" s="112">
        <v>36</v>
      </c>
      <c r="Z346" s="116">
        <v>0</v>
      </c>
      <c r="AA346" s="112">
        <v>79</v>
      </c>
      <c r="AB346" s="116">
        <v>21.52</v>
      </c>
    </row>
    <row r="347" spans="1:28" s="437" customFormat="1" x14ac:dyDescent="0.25">
      <c r="A347" s="460"/>
      <c r="B347" s="111" t="s">
        <v>153</v>
      </c>
      <c r="C347" s="112">
        <v>12</v>
      </c>
      <c r="D347" s="113">
        <v>65264572</v>
      </c>
      <c r="E347" s="112" t="s">
        <v>43</v>
      </c>
      <c r="F347" s="112" t="s">
        <v>24</v>
      </c>
      <c r="G347" s="117" t="s">
        <v>25</v>
      </c>
      <c r="H347" s="111" t="s">
        <v>26</v>
      </c>
      <c r="I347" s="114" t="s">
        <v>1562</v>
      </c>
      <c r="J347" s="115" t="s">
        <v>1563</v>
      </c>
      <c r="K347" s="117" t="s">
        <v>29</v>
      </c>
      <c r="L347" s="111" t="s">
        <v>39</v>
      </c>
      <c r="M347" s="111"/>
      <c r="N347" s="438"/>
      <c r="O347" s="438"/>
      <c r="P347" s="438"/>
      <c r="Q347" s="438"/>
      <c r="R347" s="438"/>
      <c r="S347" s="112"/>
      <c r="T347" s="117"/>
      <c r="U347" s="111"/>
      <c r="V347" s="111" t="s">
        <v>185</v>
      </c>
      <c r="W347" s="111" t="s">
        <v>1564</v>
      </c>
      <c r="X347" s="111" t="s">
        <v>1565</v>
      </c>
      <c r="Y347" s="112">
        <v>43</v>
      </c>
      <c r="Z347" s="116">
        <v>0</v>
      </c>
      <c r="AA347" s="112">
        <v>71</v>
      </c>
      <c r="AB347" s="116">
        <v>21.13</v>
      </c>
    </row>
    <row r="348" spans="1:28" s="437" customFormat="1" x14ac:dyDescent="0.25">
      <c r="A348" s="460"/>
      <c r="B348" s="111" t="s">
        <v>153</v>
      </c>
      <c r="C348" s="112">
        <v>12</v>
      </c>
      <c r="D348" s="113">
        <v>125834878</v>
      </c>
      <c r="E348" s="112" t="s">
        <v>43</v>
      </c>
      <c r="F348" s="112" t="s">
        <v>23</v>
      </c>
      <c r="G348" s="117" t="s">
        <v>25</v>
      </c>
      <c r="H348" s="111" t="s">
        <v>26</v>
      </c>
      <c r="I348" s="114" t="s">
        <v>1566</v>
      </c>
      <c r="J348" s="115" t="s">
        <v>1567</v>
      </c>
      <c r="K348" s="117" t="s">
        <v>29</v>
      </c>
      <c r="L348" s="111" t="s">
        <v>39</v>
      </c>
      <c r="M348" s="111" t="s">
        <v>51</v>
      </c>
      <c r="N348" s="438"/>
      <c r="O348" s="438"/>
      <c r="P348" s="438"/>
      <c r="Q348" s="438"/>
      <c r="R348" s="438"/>
      <c r="S348" s="112"/>
      <c r="T348" s="117"/>
      <c r="U348" s="111"/>
      <c r="V348" s="111" t="s">
        <v>1568</v>
      </c>
      <c r="W348" s="111" t="s">
        <v>1569</v>
      </c>
      <c r="X348" s="111" t="s">
        <v>1570</v>
      </c>
      <c r="Y348" s="112">
        <v>42</v>
      </c>
      <c r="Z348" s="116">
        <v>0</v>
      </c>
      <c r="AA348" s="112">
        <v>82</v>
      </c>
      <c r="AB348" s="116">
        <v>29.27</v>
      </c>
    </row>
    <row r="349" spans="1:28" s="437" customFormat="1" x14ac:dyDescent="0.25">
      <c r="A349" s="460"/>
      <c r="B349" s="111" t="s">
        <v>153</v>
      </c>
      <c r="C349" s="112">
        <v>14</v>
      </c>
      <c r="D349" s="113">
        <v>32315798</v>
      </c>
      <c r="E349" s="112" t="s">
        <v>43</v>
      </c>
      <c r="F349" s="112" t="s">
        <v>24</v>
      </c>
      <c r="G349" s="117" t="s">
        <v>25</v>
      </c>
      <c r="H349" s="111" t="s">
        <v>565</v>
      </c>
      <c r="I349" s="114" t="s">
        <v>1571</v>
      </c>
      <c r="J349" s="115"/>
      <c r="K349" s="111" t="s">
        <v>485</v>
      </c>
      <c r="L349" s="111"/>
      <c r="M349" s="111"/>
      <c r="N349" s="438"/>
      <c r="O349" s="438"/>
      <c r="P349" s="438"/>
      <c r="Q349" s="438"/>
      <c r="R349" s="438"/>
      <c r="S349" s="112"/>
      <c r="T349" s="117"/>
      <c r="U349" s="111"/>
      <c r="V349" s="111" t="s">
        <v>468</v>
      </c>
      <c r="W349" s="111" t="s">
        <v>1572</v>
      </c>
      <c r="X349" s="111" t="s">
        <v>1573</v>
      </c>
      <c r="Y349" s="112">
        <v>34</v>
      </c>
      <c r="Z349" s="116">
        <v>0</v>
      </c>
      <c r="AA349" s="112">
        <v>99</v>
      </c>
      <c r="AB349" s="116">
        <v>16.16</v>
      </c>
    </row>
    <row r="350" spans="1:28" s="437" customFormat="1" x14ac:dyDescent="0.25">
      <c r="A350" s="460"/>
      <c r="B350" s="111" t="s">
        <v>153</v>
      </c>
      <c r="C350" s="112">
        <v>14</v>
      </c>
      <c r="D350" s="113">
        <v>91701109</v>
      </c>
      <c r="E350" s="112" t="s">
        <v>23</v>
      </c>
      <c r="F350" s="112" t="s">
        <v>35</v>
      </c>
      <c r="G350" s="117" t="s">
        <v>25</v>
      </c>
      <c r="H350" s="111" t="s">
        <v>26</v>
      </c>
      <c r="I350" s="114" t="s">
        <v>1574</v>
      </c>
      <c r="J350" s="115" t="s">
        <v>1575</v>
      </c>
      <c r="K350" s="117" t="s">
        <v>29</v>
      </c>
      <c r="L350" s="111" t="s">
        <v>39</v>
      </c>
      <c r="M350" s="111" t="s">
        <v>51</v>
      </c>
      <c r="N350" s="438"/>
      <c r="O350" s="438"/>
      <c r="P350" s="438"/>
      <c r="Q350" s="438"/>
      <c r="R350" s="438"/>
      <c r="S350" s="112"/>
      <c r="T350" s="117"/>
      <c r="U350" s="111"/>
      <c r="V350" s="111" t="s">
        <v>1576</v>
      </c>
      <c r="W350" s="111" t="s">
        <v>1577</v>
      </c>
      <c r="X350" s="111" t="s">
        <v>1578</v>
      </c>
      <c r="Y350" s="112">
        <v>41</v>
      </c>
      <c r="Z350" s="116">
        <v>0</v>
      </c>
      <c r="AA350" s="112">
        <v>84</v>
      </c>
      <c r="AB350" s="116">
        <v>14.29</v>
      </c>
    </row>
    <row r="351" spans="1:28" s="437" customFormat="1" x14ac:dyDescent="0.25">
      <c r="A351" s="460"/>
      <c r="B351" s="111" t="s">
        <v>153</v>
      </c>
      <c r="C351" s="112">
        <v>14</v>
      </c>
      <c r="D351" s="113">
        <v>103336703</v>
      </c>
      <c r="E351" s="112" t="s">
        <v>43</v>
      </c>
      <c r="F351" s="112" t="s">
        <v>23</v>
      </c>
      <c r="G351" s="117" t="s">
        <v>25</v>
      </c>
      <c r="H351" s="111" t="s">
        <v>26</v>
      </c>
      <c r="I351" s="114" t="s">
        <v>1579</v>
      </c>
      <c r="J351" s="115" t="s">
        <v>1580</v>
      </c>
      <c r="K351" s="117" t="s">
        <v>29</v>
      </c>
      <c r="L351" s="111" t="s">
        <v>39</v>
      </c>
      <c r="M351" s="111" t="s">
        <v>51</v>
      </c>
      <c r="N351" s="438"/>
      <c r="O351" s="438"/>
      <c r="P351" s="438"/>
      <c r="Q351" s="438"/>
      <c r="R351" s="438"/>
      <c r="S351" s="112"/>
      <c r="T351" s="117"/>
      <c r="U351" s="111"/>
      <c r="V351" s="111" t="s">
        <v>1581</v>
      </c>
      <c r="W351" s="111" t="s">
        <v>1582</v>
      </c>
      <c r="X351" s="111" t="s">
        <v>1583</v>
      </c>
      <c r="Y351" s="112">
        <v>28</v>
      </c>
      <c r="Z351" s="116">
        <v>0</v>
      </c>
      <c r="AA351" s="112">
        <v>87</v>
      </c>
      <c r="AB351" s="116">
        <v>22.99</v>
      </c>
    </row>
    <row r="352" spans="1:28" s="437" customFormat="1" x14ac:dyDescent="0.25">
      <c r="A352" s="460"/>
      <c r="B352" s="111" t="s">
        <v>153</v>
      </c>
      <c r="C352" s="112">
        <v>16</v>
      </c>
      <c r="D352" s="113">
        <v>1877576</v>
      </c>
      <c r="E352" s="112" t="s">
        <v>43</v>
      </c>
      <c r="F352" s="112" t="s">
        <v>35</v>
      </c>
      <c r="G352" s="117" t="s">
        <v>25</v>
      </c>
      <c r="H352" s="111" t="s">
        <v>776</v>
      </c>
      <c r="I352" s="114" t="s">
        <v>1584</v>
      </c>
      <c r="J352" s="115" t="s">
        <v>1585</v>
      </c>
      <c r="K352" s="117" t="s">
        <v>29</v>
      </c>
      <c r="L352" s="111" t="s">
        <v>30</v>
      </c>
      <c r="M352" s="111" t="s">
        <v>56</v>
      </c>
      <c r="N352" s="438">
        <v>145930740</v>
      </c>
      <c r="O352" s="438"/>
      <c r="P352" s="438"/>
      <c r="Q352" s="438" t="s">
        <v>4181</v>
      </c>
      <c r="R352" s="438" t="s">
        <v>4181</v>
      </c>
      <c r="S352" s="112"/>
      <c r="T352" s="117"/>
      <c r="U352" s="111"/>
      <c r="V352" s="111" t="s">
        <v>120</v>
      </c>
      <c r="W352" s="111" t="s">
        <v>1586</v>
      </c>
      <c r="X352" s="111" t="s">
        <v>1587</v>
      </c>
      <c r="Y352" s="112">
        <v>40</v>
      </c>
      <c r="Z352" s="116">
        <v>0</v>
      </c>
      <c r="AA352" s="112">
        <v>91</v>
      </c>
      <c r="AB352" s="116">
        <v>23.08</v>
      </c>
    </row>
    <row r="353" spans="1:28" s="437" customFormat="1" x14ac:dyDescent="0.25">
      <c r="A353" s="460"/>
      <c r="B353" s="111" t="s">
        <v>153</v>
      </c>
      <c r="C353" s="112">
        <v>16</v>
      </c>
      <c r="D353" s="113">
        <v>50813762</v>
      </c>
      <c r="E353" s="112" t="s">
        <v>23</v>
      </c>
      <c r="F353" s="112" t="s">
        <v>35</v>
      </c>
      <c r="G353" s="117" t="s">
        <v>25</v>
      </c>
      <c r="H353" s="111" t="s">
        <v>26</v>
      </c>
      <c r="I353" s="114" t="s">
        <v>1588</v>
      </c>
      <c r="J353" s="115" t="s">
        <v>1589</v>
      </c>
      <c r="K353" s="117" t="s">
        <v>29</v>
      </c>
      <c r="L353" s="111" t="s">
        <v>39</v>
      </c>
      <c r="M353" s="111" t="s">
        <v>51</v>
      </c>
      <c r="N353" s="438"/>
      <c r="O353" s="438"/>
      <c r="P353" s="438"/>
      <c r="Q353" s="438"/>
      <c r="R353" s="438"/>
      <c r="S353" s="112"/>
      <c r="T353" s="117"/>
      <c r="U353" s="111"/>
      <c r="V353" s="111" t="s">
        <v>299</v>
      </c>
      <c r="W353" s="111" t="s">
        <v>1590</v>
      </c>
      <c r="X353" s="111" t="s">
        <v>1591</v>
      </c>
      <c r="Y353" s="112">
        <v>35</v>
      </c>
      <c r="Z353" s="116">
        <v>0</v>
      </c>
      <c r="AA353" s="112">
        <v>71</v>
      </c>
      <c r="AB353" s="116">
        <v>16.899999999999999</v>
      </c>
    </row>
    <row r="354" spans="1:28" s="437" customFormat="1" x14ac:dyDescent="0.25">
      <c r="A354" s="460"/>
      <c r="B354" s="111" t="s">
        <v>153</v>
      </c>
      <c r="C354" s="112">
        <v>17</v>
      </c>
      <c r="D354" s="113">
        <v>7357663</v>
      </c>
      <c r="E354" s="112" t="s">
        <v>24</v>
      </c>
      <c r="F354" s="112" t="s">
        <v>43</v>
      </c>
      <c r="G354" s="117" t="s">
        <v>25</v>
      </c>
      <c r="H354" s="111" t="s">
        <v>26</v>
      </c>
      <c r="I354" s="114" t="s">
        <v>1592</v>
      </c>
      <c r="J354" s="115" t="s">
        <v>1593</v>
      </c>
      <c r="K354" s="117" t="s">
        <v>29</v>
      </c>
      <c r="L354" s="111" t="s">
        <v>30</v>
      </c>
      <c r="M354" s="111" t="s">
        <v>56</v>
      </c>
      <c r="N354" s="438"/>
      <c r="O354" s="438"/>
      <c r="P354" s="438"/>
      <c r="Q354" s="438"/>
      <c r="R354" s="438"/>
      <c r="S354" s="112"/>
      <c r="T354" s="117"/>
      <c r="U354" s="111"/>
      <c r="V354" s="111" t="s">
        <v>104</v>
      </c>
      <c r="W354" s="111" t="s">
        <v>1594</v>
      </c>
      <c r="X354" s="111" t="s">
        <v>1595</v>
      </c>
      <c r="Y354" s="112">
        <v>40</v>
      </c>
      <c r="Z354" s="116">
        <v>0</v>
      </c>
      <c r="AA354" s="112">
        <v>62</v>
      </c>
      <c r="AB354" s="116">
        <v>20.97</v>
      </c>
    </row>
    <row r="355" spans="1:28" s="437" customFormat="1" x14ac:dyDescent="0.25">
      <c r="A355" s="460"/>
      <c r="B355" s="111" t="s">
        <v>153</v>
      </c>
      <c r="C355" s="112">
        <v>17</v>
      </c>
      <c r="D355" s="113">
        <v>39550287</v>
      </c>
      <c r="E355" s="112" t="s">
        <v>23</v>
      </c>
      <c r="F355" s="112" t="s">
        <v>35</v>
      </c>
      <c r="G355" s="117" t="s">
        <v>25</v>
      </c>
      <c r="H355" s="111" t="s">
        <v>26</v>
      </c>
      <c r="I355" s="114" t="s">
        <v>1596</v>
      </c>
      <c r="J355" s="115" t="s">
        <v>1597</v>
      </c>
      <c r="K355" s="117" t="s">
        <v>29</v>
      </c>
      <c r="L355" s="111" t="s">
        <v>39</v>
      </c>
      <c r="M355" s="111" t="s">
        <v>56</v>
      </c>
      <c r="N355" s="438"/>
      <c r="O355" s="438"/>
      <c r="P355" s="438"/>
      <c r="Q355" s="438"/>
      <c r="R355" s="438"/>
      <c r="S355" s="112"/>
      <c r="T355" s="117"/>
      <c r="U355" s="111"/>
      <c r="V355" s="111" t="s">
        <v>40</v>
      </c>
      <c r="W355" s="111" t="s">
        <v>1598</v>
      </c>
      <c r="X355" s="111" t="s">
        <v>1599</v>
      </c>
      <c r="Y355" s="112">
        <v>27</v>
      </c>
      <c r="Z355" s="116">
        <v>0</v>
      </c>
      <c r="AA355" s="112">
        <v>110</v>
      </c>
      <c r="AB355" s="116">
        <v>15.45</v>
      </c>
    </row>
    <row r="356" spans="1:28" s="437" customFormat="1" x14ac:dyDescent="0.25">
      <c r="A356" s="460"/>
      <c r="B356" s="111" t="s">
        <v>153</v>
      </c>
      <c r="C356" s="112">
        <v>17</v>
      </c>
      <c r="D356" s="113">
        <v>42336592</v>
      </c>
      <c r="E356" s="112" t="s">
        <v>24</v>
      </c>
      <c r="F356" s="112" t="s">
        <v>35</v>
      </c>
      <c r="G356" s="117" t="s">
        <v>25</v>
      </c>
      <c r="H356" s="111" t="s">
        <v>26</v>
      </c>
      <c r="I356" s="114" t="s">
        <v>1600</v>
      </c>
      <c r="J356" s="115" t="s">
        <v>1601</v>
      </c>
      <c r="K356" s="117" t="s">
        <v>29</v>
      </c>
      <c r="L356" s="111" t="s">
        <v>39</v>
      </c>
      <c r="M356" s="111" t="s">
        <v>51</v>
      </c>
      <c r="N356" s="438"/>
      <c r="O356" s="438"/>
      <c r="P356" s="438"/>
      <c r="Q356" s="438"/>
      <c r="R356" s="438"/>
      <c r="S356" s="112"/>
      <c r="T356" s="117"/>
      <c r="U356" s="111"/>
      <c r="V356" s="111" t="s">
        <v>110</v>
      </c>
      <c r="W356" s="111" t="s">
        <v>1602</v>
      </c>
      <c r="X356" s="111" t="s">
        <v>1603</v>
      </c>
      <c r="Y356" s="112">
        <v>38</v>
      </c>
      <c r="Z356" s="116">
        <v>0</v>
      </c>
      <c r="AA356" s="112">
        <v>110</v>
      </c>
      <c r="AB356" s="116">
        <v>28.18</v>
      </c>
    </row>
    <row r="357" spans="1:28" s="437" customFormat="1" x14ac:dyDescent="0.25">
      <c r="A357" s="460"/>
      <c r="B357" s="111" t="s">
        <v>153</v>
      </c>
      <c r="C357" s="112">
        <v>17</v>
      </c>
      <c r="D357" s="113">
        <v>60766236</v>
      </c>
      <c r="E357" s="112"/>
      <c r="F357" s="112" t="s">
        <v>35</v>
      </c>
      <c r="G357" s="117" t="s">
        <v>211</v>
      </c>
      <c r="H357" s="111" t="s">
        <v>26</v>
      </c>
      <c r="I357" s="114" t="s">
        <v>1604</v>
      </c>
      <c r="J357" s="115" t="s">
        <v>1605</v>
      </c>
      <c r="K357" s="117" t="s">
        <v>81</v>
      </c>
      <c r="L357" s="111"/>
      <c r="M357" s="111"/>
      <c r="N357" s="438"/>
      <c r="O357" s="438"/>
      <c r="P357" s="438"/>
      <c r="Q357" s="438"/>
      <c r="R357" s="438"/>
      <c r="S357" s="112"/>
      <c r="T357" s="117"/>
      <c r="U357" s="111"/>
      <c r="V357" s="111" t="s">
        <v>65</v>
      </c>
      <c r="W357" s="111" t="s">
        <v>1606</v>
      </c>
      <c r="X357" s="111" t="s">
        <v>1607</v>
      </c>
      <c r="Y357" s="112">
        <v>56</v>
      </c>
      <c r="Z357" s="116">
        <v>0</v>
      </c>
      <c r="AA357" s="112">
        <v>122</v>
      </c>
      <c r="AB357" s="116">
        <v>15.57</v>
      </c>
    </row>
    <row r="358" spans="1:28" s="437" customFormat="1" x14ac:dyDescent="0.25">
      <c r="A358" s="460"/>
      <c r="B358" s="111" t="s">
        <v>153</v>
      </c>
      <c r="C358" s="112">
        <v>17</v>
      </c>
      <c r="D358" s="113">
        <v>62034613</v>
      </c>
      <c r="E358" s="112" t="s">
        <v>23</v>
      </c>
      <c r="F358" s="112" t="s">
        <v>24</v>
      </c>
      <c r="G358" s="117" t="s">
        <v>25</v>
      </c>
      <c r="H358" s="111" t="s">
        <v>26</v>
      </c>
      <c r="I358" s="114" t="s">
        <v>1608</v>
      </c>
      <c r="J358" s="115" t="s">
        <v>1609</v>
      </c>
      <c r="K358" s="117" t="s">
        <v>109</v>
      </c>
      <c r="L358" s="111"/>
      <c r="M358" s="111"/>
      <c r="N358" s="438"/>
      <c r="O358" s="438"/>
      <c r="P358" s="438"/>
      <c r="Q358" s="438"/>
      <c r="R358" s="438"/>
      <c r="S358" s="112"/>
      <c r="T358" s="117"/>
      <c r="U358" s="111"/>
      <c r="V358" s="111" t="s">
        <v>613</v>
      </c>
      <c r="W358" s="111" t="s">
        <v>1610</v>
      </c>
      <c r="X358" s="111" t="s">
        <v>1611</v>
      </c>
      <c r="Y358" s="112">
        <v>60</v>
      </c>
      <c r="Z358" s="116">
        <v>0</v>
      </c>
      <c r="AA358" s="112">
        <v>109</v>
      </c>
      <c r="AB358" s="116">
        <v>20.18</v>
      </c>
    </row>
    <row r="359" spans="1:28" s="437" customFormat="1" x14ac:dyDescent="0.25">
      <c r="A359" s="460"/>
      <c r="B359" s="111" t="s">
        <v>153</v>
      </c>
      <c r="C359" s="112">
        <v>18</v>
      </c>
      <c r="D359" s="113">
        <v>77513739</v>
      </c>
      <c r="E359" s="112" t="s">
        <v>43</v>
      </c>
      <c r="F359" s="112" t="s">
        <v>24</v>
      </c>
      <c r="G359" s="117" t="s">
        <v>25</v>
      </c>
      <c r="H359" s="111" t="s">
        <v>519</v>
      </c>
      <c r="I359" s="114" t="s">
        <v>1612</v>
      </c>
      <c r="J359" s="115" t="s">
        <v>1613</v>
      </c>
      <c r="K359" s="117" t="s">
        <v>29</v>
      </c>
      <c r="L359" s="111" t="s">
        <v>39</v>
      </c>
      <c r="M359" s="111" t="s">
        <v>31</v>
      </c>
      <c r="N359" s="438"/>
      <c r="O359" s="438"/>
      <c r="P359" s="438"/>
      <c r="Q359" s="438"/>
      <c r="R359" s="438"/>
      <c r="S359" s="112"/>
      <c r="T359" s="117"/>
      <c r="U359" s="111"/>
      <c r="V359" s="111" t="s">
        <v>194</v>
      </c>
      <c r="W359" s="111" t="s">
        <v>1614</v>
      </c>
      <c r="X359" s="111" t="s">
        <v>1615</v>
      </c>
      <c r="Y359" s="112">
        <v>49</v>
      </c>
      <c r="Z359" s="116">
        <v>0</v>
      </c>
      <c r="AA359" s="112">
        <v>78</v>
      </c>
      <c r="AB359" s="116">
        <v>15.38</v>
      </c>
    </row>
    <row r="360" spans="1:28" s="437" customFormat="1" x14ac:dyDescent="0.25">
      <c r="A360" s="460"/>
      <c r="B360" s="111" t="s">
        <v>153</v>
      </c>
      <c r="C360" s="112">
        <v>19</v>
      </c>
      <c r="D360" s="113">
        <v>2515133</v>
      </c>
      <c r="E360" s="112" t="s">
        <v>23</v>
      </c>
      <c r="F360" s="112" t="s">
        <v>35</v>
      </c>
      <c r="G360" s="117" t="s">
        <v>25</v>
      </c>
      <c r="H360" s="111" t="s">
        <v>26</v>
      </c>
      <c r="I360" s="114" t="s">
        <v>1616</v>
      </c>
      <c r="J360" s="115" t="s">
        <v>1617</v>
      </c>
      <c r="K360" s="117" t="s">
        <v>29</v>
      </c>
      <c r="L360" s="111" t="s">
        <v>39</v>
      </c>
      <c r="M360" s="111" t="s">
        <v>51</v>
      </c>
      <c r="N360" s="438"/>
      <c r="O360" s="438"/>
      <c r="P360" s="438"/>
      <c r="Q360" s="438"/>
      <c r="R360" s="438"/>
      <c r="S360" s="112"/>
      <c r="T360" s="117"/>
      <c r="U360" s="111"/>
      <c r="V360" s="111" t="s">
        <v>120</v>
      </c>
      <c r="W360" s="111" t="s">
        <v>1618</v>
      </c>
      <c r="X360" s="111" t="s">
        <v>1619</v>
      </c>
      <c r="Y360" s="112">
        <v>38</v>
      </c>
      <c r="Z360" s="116">
        <v>0</v>
      </c>
      <c r="AA360" s="112">
        <v>74</v>
      </c>
      <c r="AB360" s="116">
        <v>20.27</v>
      </c>
    </row>
    <row r="361" spans="1:28" s="437" customFormat="1" x14ac:dyDescent="0.25">
      <c r="A361" s="460"/>
      <c r="B361" s="111" t="s">
        <v>153</v>
      </c>
      <c r="C361" s="112">
        <v>19</v>
      </c>
      <c r="D361" s="113">
        <v>3496677</v>
      </c>
      <c r="E361" s="112" t="s">
        <v>23</v>
      </c>
      <c r="F361" s="112" t="s">
        <v>35</v>
      </c>
      <c r="G361" s="117" t="s">
        <v>25</v>
      </c>
      <c r="H361" s="111" t="s">
        <v>26</v>
      </c>
      <c r="I361" s="114" t="s">
        <v>1620</v>
      </c>
      <c r="J361" s="115" t="s">
        <v>1621</v>
      </c>
      <c r="K361" s="117" t="s">
        <v>29</v>
      </c>
      <c r="L361" s="111" t="s">
        <v>39</v>
      </c>
      <c r="M361" s="111" t="s">
        <v>51</v>
      </c>
      <c r="N361" s="438"/>
      <c r="O361" s="438"/>
      <c r="P361" s="438"/>
      <c r="Q361" s="438"/>
      <c r="R361" s="438"/>
      <c r="S361" s="112"/>
      <c r="T361" s="117"/>
      <c r="U361" s="111"/>
      <c r="V361" s="111" t="s">
        <v>120</v>
      </c>
      <c r="W361" s="111" t="s">
        <v>1622</v>
      </c>
      <c r="X361" s="111" t="s">
        <v>1623</v>
      </c>
      <c r="Y361" s="112">
        <v>47</v>
      </c>
      <c r="Z361" s="116">
        <v>0</v>
      </c>
      <c r="AA361" s="112">
        <v>76</v>
      </c>
      <c r="AB361" s="116">
        <v>10.53</v>
      </c>
    </row>
    <row r="362" spans="1:28" s="437" customFormat="1" x14ac:dyDescent="0.25">
      <c r="A362" s="460"/>
      <c r="B362" s="111" t="s">
        <v>153</v>
      </c>
      <c r="C362" s="112">
        <v>19</v>
      </c>
      <c r="D362" s="113">
        <v>6685063</v>
      </c>
      <c r="E362" s="112" t="s">
        <v>23</v>
      </c>
      <c r="F362" s="112" t="s">
        <v>35</v>
      </c>
      <c r="G362" s="117" t="s">
        <v>25</v>
      </c>
      <c r="H362" s="111" t="s">
        <v>26</v>
      </c>
      <c r="I362" s="114" t="s">
        <v>118</v>
      </c>
      <c r="J362" s="115" t="s">
        <v>1624</v>
      </c>
      <c r="K362" s="117" t="s">
        <v>29</v>
      </c>
      <c r="L362" s="111" t="s">
        <v>39</v>
      </c>
      <c r="M362" s="111" t="s">
        <v>31</v>
      </c>
      <c r="N362" s="438"/>
      <c r="O362" s="438"/>
      <c r="P362" s="438"/>
      <c r="Q362" s="438"/>
      <c r="R362" s="438"/>
      <c r="S362" s="112"/>
      <c r="T362" s="117"/>
      <c r="U362" s="111"/>
      <c r="V362" s="111" t="s">
        <v>120</v>
      </c>
      <c r="W362" s="111" t="s">
        <v>121</v>
      </c>
      <c r="X362" s="111" t="s">
        <v>1625</v>
      </c>
      <c r="Y362" s="112">
        <v>42</v>
      </c>
      <c r="Z362" s="116">
        <v>0</v>
      </c>
      <c r="AA362" s="112">
        <v>98</v>
      </c>
      <c r="AB362" s="116">
        <v>20.41</v>
      </c>
    </row>
    <row r="363" spans="1:28" s="437" customFormat="1" x14ac:dyDescent="0.25">
      <c r="A363" s="460"/>
      <c r="B363" s="111" t="s">
        <v>153</v>
      </c>
      <c r="C363" s="112">
        <v>19</v>
      </c>
      <c r="D363" s="113">
        <v>10794150</v>
      </c>
      <c r="E363" s="112" t="s">
        <v>43</v>
      </c>
      <c r="F363" s="112" t="s">
        <v>23</v>
      </c>
      <c r="G363" s="117" t="s">
        <v>25</v>
      </c>
      <c r="H363" s="111" t="s">
        <v>26</v>
      </c>
      <c r="I363" s="114" t="s">
        <v>1626</v>
      </c>
      <c r="J363" s="115" t="s">
        <v>1627</v>
      </c>
      <c r="K363" s="117" t="s">
        <v>29</v>
      </c>
      <c r="L363" s="111" t="s">
        <v>39</v>
      </c>
      <c r="M363" s="111" t="s">
        <v>51</v>
      </c>
      <c r="N363" s="438"/>
      <c r="O363" s="438"/>
      <c r="P363" s="438"/>
      <c r="Q363" s="438"/>
      <c r="R363" s="438"/>
      <c r="S363" s="112"/>
      <c r="T363" s="117"/>
      <c r="U363" s="111"/>
      <c r="V363" s="111" t="s">
        <v>32</v>
      </c>
      <c r="W363" s="111" t="s">
        <v>1628</v>
      </c>
      <c r="X363" s="111" t="s">
        <v>1629</v>
      </c>
      <c r="Y363" s="112">
        <v>39</v>
      </c>
      <c r="Z363" s="116">
        <v>0</v>
      </c>
      <c r="AA363" s="112">
        <v>94</v>
      </c>
      <c r="AB363" s="116">
        <v>15.96</v>
      </c>
    </row>
    <row r="364" spans="1:28" s="437" customFormat="1" x14ac:dyDescent="0.25">
      <c r="A364" s="460"/>
      <c r="B364" s="111" t="s">
        <v>153</v>
      </c>
      <c r="C364" s="112">
        <v>19</v>
      </c>
      <c r="D364" s="113">
        <v>14591531</v>
      </c>
      <c r="E364" s="112" t="s">
        <v>23</v>
      </c>
      <c r="F364" s="112" t="s">
        <v>35</v>
      </c>
      <c r="G364" s="117" t="s">
        <v>25</v>
      </c>
      <c r="H364" s="111" t="s">
        <v>26</v>
      </c>
      <c r="I364" s="114" t="s">
        <v>1630</v>
      </c>
      <c r="J364" s="115" t="s">
        <v>1631</v>
      </c>
      <c r="K364" s="117" t="s">
        <v>29</v>
      </c>
      <c r="L364" s="111" t="s">
        <v>30</v>
      </c>
      <c r="M364" s="111" t="s">
        <v>31</v>
      </c>
      <c r="N364" s="438"/>
      <c r="O364" s="438"/>
      <c r="P364" s="438"/>
      <c r="Q364" s="438"/>
      <c r="R364" s="438"/>
      <c r="S364" s="112"/>
      <c r="T364" s="117"/>
      <c r="U364" s="111"/>
      <c r="V364" s="111" t="s">
        <v>1389</v>
      </c>
      <c r="W364" s="111" t="s">
        <v>1632</v>
      </c>
      <c r="X364" s="111" t="s">
        <v>1633</v>
      </c>
      <c r="Y364" s="112">
        <v>48</v>
      </c>
      <c r="Z364" s="116">
        <v>0</v>
      </c>
      <c r="AA364" s="112">
        <v>106</v>
      </c>
      <c r="AB364" s="116">
        <v>17.920000000000002</v>
      </c>
    </row>
    <row r="365" spans="1:28" s="437" customFormat="1" x14ac:dyDescent="0.25">
      <c r="A365" s="460"/>
      <c r="B365" s="111" t="s">
        <v>153</v>
      </c>
      <c r="C365" s="112">
        <v>19</v>
      </c>
      <c r="D365" s="113">
        <v>50964804</v>
      </c>
      <c r="E365" s="112" t="s">
        <v>43</v>
      </c>
      <c r="F365" s="112" t="s">
        <v>24</v>
      </c>
      <c r="G365" s="117" t="s">
        <v>25</v>
      </c>
      <c r="H365" s="111" t="s">
        <v>26</v>
      </c>
      <c r="I365" s="114" t="s">
        <v>1634</v>
      </c>
      <c r="J365" s="115" t="s">
        <v>1635</v>
      </c>
      <c r="K365" s="117" t="s">
        <v>29</v>
      </c>
      <c r="L365" s="111" t="s">
        <v>30</v>
      </c>
      <c r="M365" s="111" t="s">
        <v>56</v>
      </c>
      <c r="N365" s="438"/>
      <c r="O365" s="438"/>
      <c r="P365" s="438"/>
      <c r="Q365" s="438"/>
      <c r="R365" s="438"/>
      <c r="S365" s="112"/>
      <c r="T365" s="117"/>
      <c r="U365" s="111"/>
      <c r="V365" s="111" t="s">
        <v>798</v>
      </c>
      <c r="W365" s="111" t="s">
        <v>1636</v>
      </c>
      <c r="X365" s="111" t="s">
        <v>1637</v>
      </c>
      <c r="Y365" s="112">
        <v>29</v>
      </c>
      <c r="Z365" s="116">
        <v>0</v>
      </c>
      <c r="AA365" s="112">
        <v>87</v>
      </c>
      <c r="AB365" s="116">
        <v>29.89</v>
      </c>
    </row>
    <row r="366" spans="1:28" s="437" customFormat="1" x14ac:dyDescent="0.25">
      <c r="A366" s="460"/>
      <c r="B366" s="111" t="s">
        <v>153</v>
      </c>
      <c r="C366" s="112">
        <v>19</v>
      </c>
      <c r="D366" s="113">
        <v>56244125</v>
      </c>
      <c r="E366" s="112" t="s">
        <v>23</v>
      </c>
      <c r="F366" s="112" t="s">
        <v>24</v>
      </c>
      <c r="G366" s="117" t="s">
        <v>25</v>
      </c>
      <c r="H366" s="111" t="s">
        <v>26</v>
      </c>
      <c r="I366" s="114" t="s">
        <v>1638</v>
      </c>
      <c r="J366" s="115" t="s">
        <v>1639</v>
      </c>
      <c r="K366" s="117" t="s">
        <v>29</v>
      </c>
      <c r="L366" s="111" t="s">
        <v>39</v>
      </c>
      <c r="M366" s="111" t="s">
        <v>51</v>
      </c>
      <c r="N366" s="438"/>
      <c r="O366" s="438"/>
      <c r="P366" s="438"/>
      <c r="Q366" s="438"/>
      <c r="R366" s="438"/>
      <c r="S366" s="112"/>
      <c r="T366" s="117" t="s">
        <v>1640</v>
      </c>
      <c r="U366" s="111"/>
      <c r="V366" s="111" t="s">
        <v>838</v>
      </c>
      <c r="W366" s="111" t="s">
        <v>1641</v>
      </c>
      <c r="X366" s="111" t="s">
        <v>1642</v>
      </c>
      <c r="Y366" s="112">
        <v>35</v>
      </c>
      <c r="Z366" s="116">
        <v>0</v>
      </c>
      <c r="AA366" s="112">
        <v>98</v>
      </c>
      <c r="AB366" s="116">
        <v>19.39</v>
      </c>
    </row>
    <row r="367" spans="1:28" s="437" customFormat="1" x14ac:dyDescent="0.25">
      <c r="A367" s="460"/>
      <c r="B367" s="111" t="s">
        <v>153</v>
      </c>
      <c r="C367" s="112">
        <v>19</v>
      </c>
      <c r="D367" s="113">
        <v>58083690</v>
      </c>
      <c r="E367" s="112" t="s">
        <v>23</v>
      </c>
      <c r="F367" s="112" t="s">
        <v>43</v>
      </c>
      <c r="G367" s="117" t="s">
        <v>25</v>
      </c>
      <c r="H367" s="111" t="s">
        <v>26</v>
      </c>
      <c r="I367" s="114" t="s">
        <v>1643</v>
      </c>
      <c r="J367" s="115" t="s">
        <v>1644</v>
      </c>
      <c r="K367" s="117" t="s">
        <v>29</v>
      </c>
      <c r="L367" s="111" t="s">
        <v>30</v>
      </c>
      <c r="M367" s="111" t="s">
        <v>56</v>
      </c>
      <c r="N367" s="438"/>
      <c r="O367" s="438"/>
      <c r="P367" s="438"/>
      <c r="Q367" s="438"/>
      <c r="R367" s="438"/>
      <c r="S367" s="112"/>
      <c r="T367" s="117"/>
      <c r="U367" s="111"/>
      <c r="V367" s="111" t="s">
        <v>363</v>
      </c>
      <c r="W367" s="111" t="s">
        <v>1645</v>
      </c>
      <c r="X367" s="111" t="s">
        <v>1646</v>
      </c>
      <c r="Y367" s="112">
        <v>56</v>
      </c>
      <c r="Z367" s="116">
        <v>0</v>
      </c>
      <c r="AA367" s="112">
        <v>131</v>
      </c>
      <c r="AB367" s="116">
        <v>16.03</v>
      </c>
    </row>
    <row r="368" spans="1:28" s="437" customFormat="1" x14ac:dyDescent="0.25">
      <c r="A368" s="460"/>
      <c r="B368" s="111" t="s">
        <v>153</v>
      </c>
      <c r="C368" s="112">
        <v>20</v>
      </c>
      <c r="D368" s="113">
        <v>3670271</v>
      </c>
      <c r="E368" s="112" t="s">
        <v>23</v>
      </c>
      <c r="F368" s="112" t="s">
        <v>43</v>
      </c>
      <c r="G368" s="117" t="s">
        <v>25</v>
      </c>
      <c r="H368" s="111" t="s">
        <v>26</v>
      </c>
      <c r="I368" s="114" t="s">
        <v>1647</v>
      </c>
      <c r="J368" s="115" t="s">
        <v>1648</v>
      </c>
      <c r="K368" s="117" t="s">
        <v>29</v>
      </c>
      <c r="L368" s="111"/>
      <c r="M368" s="111" t="s">
        <v>51</v>
      </c>
      <c r="N368" s="438"/>
      <c r="O368" s="438"/>
      <c r="P368" s="438"/>
      <c r="Q368" s="438"/>
      <c r="R368" s="438"/>
      <c r="S368" s="112"/>
      <c r="T368" s="117"/>
      <c r="U368" s="111"/>
      <c r="V368" s="111" t="s">
        <v>270</v>
      </c>
      <c r="W368" s="111" t="s">
        <v>1649</v>
      </c>
      <c r="X368" s="111" t="s">
        <v>1650</v>
      </c>
      <c r="Y368" s="112">
        <v>58</v>
      </c>
      <c r="Z368" s="116">
        <v>0</v>
      </c>
      <c r="AA368" s="112">
        <v>79</v>
      </c>
      <c r="AB368" s="116">
        <v>22.78</v>
      </c>
    </row>
    <row r="369" spans="1:28" s="437" customFormat="1" x14ac:dyDescent="0.25">
      <c r="A369" s="460"/>
      <c r="B369" s="111" t="s">
        <v>153</v>
      </c>
      <c r="C369" s="112">
        <v>20</v>
      </c>
      <c r="D369" s="113">
        <v>33502167</v>
      </c>
      <c r="E369" s="112" t="s">
        <v>43</v>
      </c>
      <c r="F369" s="112" t="s">
        <v>24</v>
      </c>
      <c r="G369" s="117" t="s">
        <v>25</v>
      </c>
      <c r="H369" s="111" t="s">
        <v>26</v>
      </c>
      <c r="I369" s="114" t="s">
        <v>1651</v>
      </c>
      <c r="J369" s="115" t="s">
        <v>1652</v>
      </c>
      <c r="K369" s="117" t="s">
        <v>29</v>
      </c>
      <c r="L369" s="111" t="s">
        <v>30</v>
      </c>
      <c r="M369" s="111" t="s">
        <v>51</v>
      </c>
      <c r="N369" s="438"/>
      <c r="O369" s="438"/>
      <c r="P369" s="438"/>
      <c r="Q369" s="438"/>
      <c r="R369" s="438"/>
      <c r="S369" s="112"/>
      <c r="T369" s="117"/>
      <c r="U369" s="111"/>
      <c r="V369" s="111" t="s">
        <v>817</v>
      </c>
      <c r="W369" s="111" t="s">
        <v>1653</v>
      </c>
      <c r="X369" s="111" t="s">
        <v>1654</v>
      </c>
      <c r="Y369" s="112">
        <v>48</v>
      </c>
      <c r="Z369" s="116">
        <v>0</v>
      </c>
      <c r="AA369" s="112">
        <v>90</v>
      </c>
      <c r="AB369" s="116">
        <v>24.44</v>
      </c>
    </row>
    <row r="370" spans="1:28" s="437" customFormat="1" x14ac:dyDescent="0.25">
      <c r="A370" s="460"/>
      <c r="B370" s="111" t="s">
        <v>153</v>
      </c>
      <c r="C370" s="112">
        <v>22</v>
      </c>
      <c r="D370" s="113">
        <v>31536141</v>
      </c>
      <c r="E370" s="112" t="s">
        <v>23</v>
      </c>
      <c r="F370" s="112" t="s">
        <v>35</v>
      </c>
      <c r="G370" s="117" t="s">
        <v>25</v>
      </c>
      <c r="H370" s="111" t="s">
        <v>26</v>
      </c>
      <c r="I370" s="114" t="s">
        <v>1655</v>
      </c>
      <c r="J370" s="115" t="s">
        <v>1656</v>
      </c>
      <c r="K370" s="117" t="s">
        <v>29</v>
      </c>
      <c r="L370" s="111" t="s">
        <v>30</v>
      </c>
      <c r="M370" s="111" t="s">
        <v>31</v>
      </c>
      <c r="N370" s="438">
        <v>1464747218</v>
      </c>
      <c r="O370" s="438"/>
      <c r="P370" s="438"/>
      <c r="Q370" s="438"/>
      <c r="R370" s="438">
        <v>0</v>
      </c>
      <c r="S370" s="112"/>
      <c r="T370" s="117"/>
      <c r="U370" s="111"/>
      <c r="V370" s="111" t="s">
        <v>150</v>
      </c>
      <c r="W370" s="111" t="s">
        <v>1657</v>
      </c>
      <c r="X370" s="111" t="s">
        <v>1658</v>
      </c>
      <c r="Y370" s="112">
        <v>40</v>
      </c>
      <c r="Z370" s="116">
        <v>0</v>
      </c>
      <c r="AA370" s="112">
        <v>71</v>
      </c>
      <c r="AB370" s="116">
        <v>33.799999999999997</v>
      </c>
    </row>
    <row r="371" spans="1:28" s="437" customFormat="1" x14ac:dyDescent="0.25">
      <c r="A371" s="460"/>
      <c r="B371" s="111" t="s">
        <v>153</v>
      </c>
      <c r="C371" s="112" t="s">
        <v>379</v>
      </c>
      <c r="D371" s="113">
        <v>23019257</v>
      </c>
      <c r="E371" s="112" t="s">
        <v>43</v>
      </c>
      <c r="F371" s="112" t="s">
        <v>23</v>
      </c>
      <c r="G371" s="117" t="s">
        <v>25</v>
      </c>
      <c r="H371" s="111" t="s">
        <v>26</v>
      </c>
      <c r="I371" s="114" t="s">
        <v>1659</v>
      </c>
      <c r="J371" s="115" t="s">
        <v>1660</v>
      </c>
      <c r="K371" s="117" t="s">
        <v>29</v>
      </c>
      <c r="L371" s="111" t="s">
        <v>39</v>
      </c>
      <c r="M371" s="111" t="s">
        <v>51</v>
      </c>
      <c r="N371" s="438"/>
      <c r="O371" s="438"/>
      <c r="P371" s="438"/>
      <c r="Q371" s="438"/>
      <c r="R371" s="438"/>
      <c r="S371" s="112"/>
      <c r="T371" s="117"/>
      <c r="U371" s="111"/>
      <c r="V371" s="111" t="s">
        <v>1661</v>
      </c>
      <c r="W371" s="111" t="s">
        <v>1662</v>
      </c>
      <c r="X371" s="111" t="s">
        <v>1663</v>
      </c>
      <c r="Y371" s="112">
        <v>21</v>
      </c>
      <c r="Z371" s="116">
        <v>0</v>
      </c>
      <c r="AA371" s="112">
        <v>37</v>
      </c>
      <c r="AB371" s="116">
        <v>27.03</v>
      </c>
    </row>
    <row r="372" spans="1:28" s="437" customFormat="1" x14ac:dyDescent="0.25">
      <c r="A372" s="460"/>
      <c r="B372" s="111" t="s">
        <v>153</v>
      </c>
      <c r="C372" s="112" t="s">
        <v>379</v>
      </c>
      <c r="D372" s="113">
        <v>100515127</v>
      </c>
      <c r="E372" s="112" t="s">
        <v>43</v>
      </c>
      <c r="F372" s="112" t="s">
        <v>24</v>
      </c>
      <c r="G372" s="117" t="s">
        <v>25</v>
      </c>
      <c r="H372" s="111" t="s">
        <v>26</v>
      </c>
      <c r="I372" s="114" t="s">
        <v>1664</v>
      </c>
      <c r="J372" s="115" t="s">
        <v>1665</v>
      </c>
      <c r="K372" s="117" t="s">
        <v>29</v>
      </c>
      <c r="L372" s="111" t="s">
        <v>39</v>
      </c>
      <c r="M372" s="111" t="s">
        <v>51</v>
      </c>
      <c r="N372" s="438"/>
      <c r="O372" s="438"/>
      <c r="P372" s="438"/>
      <c r="Q372" s="438"/>
      <c r="R372" s="438"/>
      <c r="S372" s="112"/>
      <c r="T372" s="117"/>
      <c r="U372" s="111"/>
      <c r="V372" s="111" t="s">
        <v>238</v>
      </c>
      <c r="W372" s="111" t="s">
        <v>1666</v>
      </c>
      <c r="X372" s="111" t="s">
        <v>1667</v>
      </c>
      <c r="Y372" s="112">
        <v>7</v>
      </c>
      <c r="Z372" s="116">
        <v>0</v>
      </c>
      <c r="AA372" s="112">
        <v>31</v>
      </c>
      <c r="AB372" s="116">
        <v>41.94</v>
      </c>
    </row>
    <row r="373" spans="1:28" s="454" customFormat="1" ht="15.75" thickBot="1" x14ac:dyDescent="0.3">
      <c r="A373" s="460"/>
      <c r="B373" s="213" t="s">
        <v>153</v>
      </c>
      <c r="C373" s="212" t="s">
        <v>379</v>
      </c>
      <c r="D373" s="260">
        <v>102974143</v>
      </c>
      <c r="E373" s="212" t="s">
        <v>43</v>
      </c>
      <c r="F373" s="212" t="s">
        <v>23</v>
      </c>
      <c r="G373" s="211" t="s">
        <v>25</v>
      </c>
      <c r="H373" s="213" t="s">
        <v>26</v>
      </c>
      <c r="I373" s="452" t="s">
        <v>1668</v>
      </c>
      <c r="J373" s="453" t="s">
        <v>1669</v>
      </c>
      <c r="K373" s="211" t="s">
        <v>29</v>
      </c>
      <c r="L373" s="213" t="s">
        <v>30</v>
      </c>
      <c r="M373" s="213" t="s">
        <v>51</v>
      </c>
      <c r="S373" s="212"/>
      <c r="T373" s="211"/>
      <c r="U373" s="213"/>
      <c r="V373" s="213" t="s">
        <v>650</v>
      </c>
      <c r="W373" s="213" t="s">
        <v>1670</v>
      </c>
      <c r="X373" s="213" t="s">
        <v>1671</v>
      </c>
      <c r="Y373" s="212">
        <v>15</v>
      </c>
      <c r="Z373" s="455">
        <v>0</v>
      </c>
      <c r="AA373" s="212">
        <v>39</v>
      </c>
      <c r="AB373" s="455">
        <v>35.9</v>
      </c>
    </row>
    <row r="374" spans="1:28" s="440" customFormat="1" ht="15" customHeight="1" x14ac:dyDescent="0.25">
      <c r="A374" s="460" t="s">
        <v>4151</v>
      </c>
      <c r="B374" s="118" t="s">
        <v>22</v>
      </c>
      <c r="C374" s="119">
        <v>9</v>
      </c>
      <c r="D374" s="120">
        <v>33073755</v>
      </c>
      <c r="E374" s="119" t="s">
        <v>23</v>
      </c>
      <c r="F374" s="119" t="s">
        <v>24</v>
      </c>
      <c r="G374" s="124" t="s">
        <v>25</v>
      </c>
      <c r="H374" s="118" t="s">
        <v>26</v>
      </c>
      <c r="I374" s="121" t="s">
        <v>1672</v>
      </c>
      <c r="J374" s="122" t="s">
        <v>1673</v>
      </c>
      <c r="K374" s="124" t="s">
        <v>29</v>
      </c>
      <c r="L374" s="118" t="s">
        <v>92</v>
      </c>
      <c r="M374" s="118" t="s">
        <v>51</v>
      </c>
      <c r="N374" s="439"/>
      <c r="O374" s="439"/>
      <c r="P374" s="439"/>
      <c r="Q374" s="439"/>
      <c r="R374" s="439"/>
      <c r="S374" s="119"/>
      <c r="T374" s="124"/>
      <c r="U374" s="118"/>
      <c r="V374" s="118" t="s">
        <v>405</v>
      </c>
      <c r="W374" s="118" t="s">
        <v>1674</v>
      </c>
      <c r="X374" s="118" t="s">
        <v>1675</v>
      </c>
      <c r="Y374" s="119">
        <v>51</v>
      </c>
      <c r="Z374" s="123">
        <v>15.69</v>
      </c>
      <c r="AA374" s="119">
        <v>63</v>
      </c>
      <c r="AB374" s="123">
        <v>0</v>
      </c>
    </row>
    <row r="375" spans="1:28" s="440" customFormat="1" x14ac:dyDescent="0.25">
      <c r="A375" s="460"/>
      <c r="B375" s="118" t="s">
        <v>22</v>
      </c>
      <c r="C375" s="119">
        <v>15</v>
      </c>
      <c r="D375" s="120">
        <v>41247809</v>
      </c>
      <c r="E375" s="119" t="s">
        <v>43</v>
      </c>
      <c r="F375" s="119" t="s">
        <v>35</v>
      </c>
      <c r="G375" s="124" t="s">
        <v>25</v>
      </c>
      <c r="H375" s="118" t="s">
        <v>26</v>
      </c>
      <c r="I375" s="121" t="s">
        <v>1676</v>
      </c>
      <c r="J375" s="122" t="s">
        <v>1677</v>
      </c>
      <c r="K375" s="124" t="s">
        <v>29</v>
      </c>
      <c r="L375" s="118" t="s">
        <v>39</v>
      </c>
      <c r="M375" s="118" t="s">
        <v>51</v>
      </c>
      <c r="N375" s="439">
        <v>1192991356</v>
      </c>
      <c r="O375" s="439"/>
      <c r="P375" s="439"/>
      <c r="Q375" s="439"/>
      <c r="R375" s="439">
        <v>0</v>
      </c>
      <c r="S375" s="119"/>
      <c r="T375" s="124"/>
      <c r="U375" s="118"/>
      <c r="V375" s="118" t="s">
        <v>1678</v>
      </c>
      <c r="W375" s="118" t="s">
        <v>1679</v>
      </c>
      <c r="X375" s="118" t="s">
        <v>1680</v>
      </c>
      <c r="Y375" s="119">
        <v>78</v>
      </c>
      <c r="Z375" s="123">
        <v>30.77</v>
      </c>
      <c r="AA375" s="119">
        <v>55</v>
      </c>
      <c r="AB375" s="123">
        <v>0</v>
      </c>
    </row>
    <row r="376" spans="1:28" s="442" customFormat="1" x14ac:dyDescent="0.25">
      <c r="A376" s="460"/>
      <c r="B376" s="125" t="s">
        <v>504</v>
      </c>
      <c r="C376" s="126">
        <v>1</v>
      </c>
      <c r="D376" s="127">
        <v>39878977</v>
      </c>
      <c r="E376" s="126" t="s">
        <v>35</v>
      </c>
      <c r="F376" s="126" t="s">
        <v>43</v>
      </c>
      <c r="G376" s="131" t="s">
        <v>25</v>
      </c>
      <c r="H376" s="125" t="s">
        <v>36</v>
      </c>
      <c r="I376" s="128" t="s">
        <v>881</v>
      </c>
      <c r="J376" s="129" t="s">
        <v>1681</v>
      </c>
      <c r="K376" s="131" t="s">
        <v>29</v>
      </c>
      <c r="L376" s="125"/>
      <c r="M376" s="125"/>
      <c r="N376" s="125">
        <v>783821</v>
      </c>
      <c r="O376" s="441"/>
      <c r="P376" s="441"/>
      <c r="Q376" s="441"/>
      <c r="R376" s="441"/>
      <c r="S376" s="126"/>
      <c r="T376" s="131"/>
      <c r="U376" s="125"/>
      <c r="V376" s="125" t="s">
        <v>883</v>
      </c>
      <c r="W376" s="125" t="s">
        <v>884</v>
      </c>
      <c r="X376" s="125" t="s">
        <v>1682</v>
      </c>
      <c r="Y376" s="126">
        <v>29</v>
      </c>
      <c r="Z376" s="130">
        <v>13.79</v>
      </c>
      <c r="AA376" s="126">
        <v>30</v>
      </c>
      <c r="AB376" s="130">
        <v>13.33</v>
      </c>
    </row>
    <row r="377" spans="1:28" s="442" customFormat="1" x14ac:dyDescent="0.25">
      <c r="A377" s="460"/>
      <c r="B377" s="125" t="s">
        <v>504</v>
      </c>
      <c r="C377" s="126">
        <v>1</v>
      </c>
      <c r="D377" s="127">
        <v>147380167</v>
      </c>
      <c r="E377" s="126" t="s">
        <v>23</v>
      </c>
      <c r="F377" s="126" t="s">
        <v>35</v>
      </c>
      <c r="G377" s="131" t="s">
        <v>25</v>
      </c>
      <c r="H377" s="125" t="s">
        <v>26</v>
      </c>
      <c r="I377" s="128" t="s">
        <v>1683</v>
      </c>
      <c r="J377" s="129" t="s">
        <v>1684</v>
      </c>
      <c r="K377" s="131" t="s">
        <v>29</v>
      </c>
      <c r="L377" s="125" t="s">
        <v>30</v>
      </c>
      <c r="M377" s="125" t="s">
        <v>56</v>
      </c>
      <c r="N377" s="125"/>
      <c r="O377" s="441"/>
      <c r="P377" s="441"/>
      <c r="Q377" s="441"/>
      <c r="R377" s="441"/>
      <c r="S377" s="126"/>
      <c r="T377" s="131"/>
      <c r="U377" s="125"/>
      <c r="V377" s="125" t="s">
        <v>40</v>
      </c>
      <c r="W377" s="125" t="s">
        <v>1685</v>
      </c>
      <c r="X377" s="125" t="s">
        <v>1686</v>
      </c>
      <c r="Y377" s="126">
        <v>69</v>
      </c>
      <c r="Z377" s="130">
        <v>50.72</v>
      </c>
      <c r="AA377" s="126">
        <v>79</v>
      </c>
      <c r="AB377" s="130">
        <v>16.46</v>
      </c>
    </row>
    <row r="378" spans="1:28" s="442" customFormat="1" x14ac:dyDescent="0.25">
      <c r="A378" s="460"/>
      <c r="B378" s="125" t="s">
        <v>504</v>
      </c>
      <c r="C378" s="126">
        <v>2</v>
      </c>
      <c r="D378" s="127">
        <v>113940692</v>
      </c>
      <c r="E378" s="126" t="s">
        <v>43</v>
      </c>
      <c r="F378" s="126" t="s">
        <v>24</v>
      </c>
      <c r="G378" s="131" t="s">
        <v>25</v>
      </c>
      <c r="H378" s="125" t="s">
        <v>26</v>
      </c>
      <c r="I378" s="128" t="s">
        <v>1687</v>
      </c>
      <c r="J378" s="129" t="s">
        <v>1688</v>
      </c>
      <c r="K378" s="131" t="s">
        <v>29</v>
      </c>
      <c r="L378" s="125" t="s">
        <v>30</v>
      </c>
      <c r="M378" s="125" t="s">
        <v>31</v>
      </c>
      <c r="N378" s="125"/>
      <c r="O378" s="441"/>
      <c r="P378" s="441"/>
      <c r="Q378" s="441"/>
      <c r="R378" s="441"/>
      <c r="S378" s="126"/>
      <c r="T378" s="131"/>
      <c r="U378" s="125"/>
      <c r="V378" s="125" t="s">
        <v>571</v>
      </c>
      <c r="W378" s="125" t="s">
        <v>1689</v>
      </c>
      <c r="X378" s="125" t="s">
        <v>1690</v>
      </c>
      <c r="Y378" s="126">
        <v>55</v>
      </c>
      <c r="Z378" s="130">
        <v>27</v>
      </c>
      <c r="AA378" s="126">
        <v>42</v>
      </c>
      <c r="AB378" s="130">
        <v>26.19</v>
      </c>
    </row>
    <row r="379" spans="1:28" s="442" customFormat="1" ht="60" x14ac:dyDescent="0.25">
      <c r="A379" s="460"/>
      <c r="B379" s="125" t="s">
        <v>504</v>
      </c>
      <c r="C379" s="132">
        <v>3</v>
      </c>
      <c r="D379" s="133">
        <v>56650054</v>
      </c>
      <c r="E379" s="132" t="s">
        <v>24</v>
      </c>
      <c r="F379" s="132" t="s">
        <v>23</v>
      </c>
      <c r="G379" s="138" t="s">
        <v>25</v>
      </c>
      <c r="H379" s="134" t="s">
        <v>26</v>
      </c>
      <c r="I379" s="135" t="s">
        <v>1691</v>
      </c>
      <c r="J379" s="136" t="s">
        <v>1692</v>
      </c>
      <c r="K379" s="138" t="s">
        <v>29</v>
      </c>
      <c r="L379" s="134" t="s">
        <v>39</v>
      </c>
      <c r="M379" s="134" t="s">
        <v>31</v>
      </c>
      <c r="N379" s="134">
        <v>111934125</v>
      </c>
      <c r="O379" s="441"/>
      <c r="P379" s="441"/>
      <c r="Q379" s="441"/>
      <c r="R379" s="441"/>
      <c r="S379" s="132"/>
      <c r="T379" s="138"/>
      <c r="U379" s="125"/>
      <c r="V379" s="134" t="s">
        <v>1002</v>
      </c>
      <c r="W379" s="134" t="s">
        <v>1693</v>
      </c>
      <c r="X379" s="134" t="s">
        <v>1694</v>
      </c>
      <c r="Y379" s="126">
        <v>62</v>
      </c>
      <c r="Z379" s="130">
        <v>15</v>
      </c>
      <c r="AA379" s="132">
        <v>83</v>
      </c>
      <c r="AB379" s="137">
        <v>28.92</v>
      </c>
    </row>
    <row r="380" spans="1:28" s="442" customFormat="1" x14ac:dyDescent="0.25">
      <c r="A380" s="460"/>
      <c r="B380" s="125" t="s">
        <v>504</v>
      </c>
      <c r="C380" s="126">
        <v>10</v>
      </c>
      <c r="D380" s="127">
        <v>51863872</v>
      </c>
      <c r="E380" s="126" t="s">
        <v>24</v>
      </c>
      <c r="F380" s="126" t="s">
        <v>23</v>
      </c>
      <c r="G380" s="131" t="s">
        <v>25</v>
      </c>
      <c r="H380" s="125" t="s">
        <v>26</v>
      </c>
      <c r="I380" s="128" t="s">
        <v>1695</v>
      </c>
      <c r="J380" s="129" t="s">
        <v>1696</v>
      </c>
      <c r="K380" s="131" t="s">
        <v>29</v>
      </c>
      <c r="L380" s="125" t="s">
        <v>92</v>
      </c>
      <c r="M380" s="125" t="s">
        <v>51</v>
      </c>
      <c r="N380" s="125">
        <v>2490899</v>
      </c>
      <c r="O380" s="441"/>
      <c r="P380" s="441"/>
      <c r="Q380" s="441" t="s">
        <v>4210</v>
      </c>
      <c r="R380" s="441" t="s">
        <v>4211</v>
      </c>
      <c r="S380" s="126"/>
      <c r="T380" s="131"/>
      <c r="U380" s="125"/>
      <c r="V380" s="125" t="s">
        <v>141</v>
      </c>
      <c r="W380" s="125" t="s">
        <v>1697</v>
      </c>
      <c r="X380" s="125" t="s">
        <v>1698</v>
      </c>
      <c r="Y380" s="126">
        <v>50</v>
      </c>
      <c r="Z380" s="130">
        <v>4</v>
      </c>
      <c r="AA380" s="126">
        <v>36</v>
      </c>
      <c r="AB380" s="130">
        <v>19.440000000000001</v>
      </c>
    </row>
    <row r="381" spans="1:28" s="442" customFormat="1" x14ac:dyDescent="0.25">
      <c r="A381" s="460"/>
      <c r="B381" s="125" t="s">
        <v>504</v>
      </c>
      <c r="C381" s="126">
        <v>19</v>
      </c>
      <c r="D381" s="127">
        <v>48997142</v>
      </c>
      <c r="E381" s="126" t="s">
        <v>43</v>
      </c>
      <c r="F381" s="126" t="s">
        <v>35</v>
      </c>
      <c r="G381" s="131" t="s">
        <v>25</v>
      </c>
      <c r="H381" s="125" t="s">
        <v>26</v>
      </c>
      <c r="I381" s="128" t="s">
        <v>1699</v>
      </c>
      <c r="J381" s="129" t="s">
        <v>1700</v>
      </c>
      <c r="K381" s="131" t="s">
        <v>29</v>
      </c>
      <c r="L381" s="125" t="s">
        <v>30</v>
      </c>
      <c r="M381" s="125"/>
      <c r="N381" s="125"/>
      <c r="O381" s="443"/>
      <c r="P381" s="443"/>
      <c r="Q381" s="443"/>
      <c r="R381" s="443"/>
      <c r="S381" s="126"/>
      <c r="T381" s="131"/>
      <c r="U381" s="125"/>
      <c r="V381" s="125" t="s">
        <v>798</v>
      </c>
      <c r="W381" s="125" t="s">
        <v>1701</v>
      </c>
      <c r="X381" s="125" t="s">
        <v>1702</v>
      </c>
      <c r="Y381" s="126">
        <v>59</v>
      </c>
      <c r="Z381" s="130">
        <v>15.25</v>
      </c>
      <c r="AA381" s="126">
        <v>77</v>
      </c>
      <c r="AB381" s="130">
        <v>18.18</v>
      </c>
    </row>
    <row r="382" spans="1:28" s="445" customFormat="1" x14ac:dyDescent="0.25">
      <c r="A382" s="460"/>
      <c r="B382" s="139" t="s">
        <v>153</v>
      </c>
      <c r="C382" s="140">
        <v>1</v>
      </c>
      <c r="D382" s="141">
        <v>40230319</v>
      </c>
      <c r="E382" s="140" t="s">
        <v>23</v>
      </c>
      <c r="F382" s="140" t="s">
        <v>24</v>
      </c>
      <c r="G382" s="145" t="s">
        <v>25</v>
      </c>
      <c r="H382" s="139" t="s">
        <v>26</v>
      </c>
      <c r="I382" s="142" t="s">
        <v>1703</v>
      </c>
      <c r="J382" s="143" t="s">
        <v>1704</v>
      </c>
      <c r="K382" s="145" t="s">
        <v>29</v>
      </c>
      <c r="L382" s="139" t="s">
        <v>39</v>
      </c>
      <c r="M382" s="139" t="s">
        <v>51</v>
      </c>
      <c r="N382" s="444"/>
      <c r="O382" s="444"/>
      <c r="P382" s="444"/>
      <c r="Q382" s="444"/>
      <c r="R382" s="444"/>
      <c r="S382" s="140"/>
      <c r="T382" s="145"/>
      <c r="U382" s="139"/>
      <c r="V382" s="139" t="s">
        <v>1705</v>
      </c>
      <c r="W382" s="139" t="s">
        <v>1706</v>
      </c>
      <c r="X382" s="139" t="s">
        <v>1707</v>
      </c>
      <c r="Y382" s="140">
        <v>135</v>
      </c>
      <c r="Z382" s="144">
        <v>0</v>
      </c>
      <c r="AA382" s="140">
        <v>112</v>
      </c>
      <c r="AB382" s="144">
        <v>10.71</v>
      </c>
    </row>
    <row r="383" spans="1:28" s="445" customFormat="1" x14ac:dyDescent="0.25">
      <c r="A383" s="460"/>
      <c r="B383" s="139" t="s">
        <v>153</v>
      </c>
      <c r="C383" s="140">
        <v>1</v>
      </c>
      <c r="D383" s="141">
        <v>248262710</v>
      </c>
      <c r="E383" s="140" t="s">
        <v>23</v>
      </c>
      <c r="F383" s="140" t="s">
        <v>35</v>
      </c>
      <c r="G383" s="145" t="s">
        <v>25</v>
      </c>
      <c r="H383" s="139" t="s">
        <v>26</v>
      </c>
      <c r="I383" s="142" t="s">
        <v>1708</v>
      </c>
      <c r="J383" s="143" t="s">
        <v>1709</v>
      </c>
      <c r="K383" s="145" t="s">
        <v>29</v>
      </c>
      <c r="L383" s="139" t="s">
        <v>30</v>
      </c>
      <c r="M383" s="139" t="s">
        <v>56</v>
      </c>
      <c r="N383" s="444"/>
      <c r="O383" s="444"/>
      <c r="P383" s="444"/>
      <c r="Q383" s="444"/>
      <c r="R383" s="444"/>
      <c r="S383" s="140"/>
      <c r="T383" s="145"/>
      <c r="U383" s="139"/>
      <c r="V383" s="139" t="s">
        <v>1710</v>
      </c>
      <c r="W383" s="139" t="s">
        <v>1711</v>
      </c>
      <c r="X383" s="139" t="s">
        <v>1712</v>
      </c>
      <c r="Y383" s="140">
        <v>94</v>
      </c>
      <c r="Z383" s="144">
        <v>0</v>
      </c>
      <c r="AA383" s="140">
        <v>87</v>
      </c>
      <c r="AB383" s="144">
        <v>11.49</v>
      </c>
    </row>
    <row r="384" spans="1:28" s="445" customFormat="1" ht="30" x14ac:dyDescent="0.25">
      <c r="A384" s="460"/>
      <c r="B384" s="139" t="s">
        <v>153</v>
      </c>
      <c r="C384" s="140">
        <v>2</v>
      </c>
      <c r="D384" s="141">
        <v>8916911</v>
      </c>
      <c r="E384" s="140" t="s">
        <v>24</v>
      </c>
      <c r="F384" s="140" t="s">
        <v>23</v>
      </c>
      <c r="G384" s="145" t="s">
        <v>25</v>
      </c>
      <c r="H384" s="139" t="s">
        <v>168</v>
      </c>
      <c r="I384" s="142" t="s">
        <v>1713</v>
      </c>
      <c r="J384" s="143" t="s">
        <v>1714</v>
      </c>
      <c r="K384" s="145" t="s">
        <v>29</v>
      </c>
      <c r="L384" s="139" t="s">
        <v>30</v>
      </c>
      <c r="M384" s="139" t="s">
        <v>51</v>
      </c>
      <c r="N384" s="444"/>
      <c r="O384" s="444"/>
      <c r="P384" s="444"/>
      <c r="Q384" s="444"/>
      <c r="R384" s="444"/>
      <c r="S384" s="140"/>
      <c r="T384" s="145"/>
      <c r="U384" s="139"/>
      <c r="V384" s="139" t="s">
        <v>963</v>
      </c>
      <c r="W384" s="139" t="s">
        <v>1715</v>
      </c>
      <c r="X384" s="139" t="s">
        <v>1716</v>
      </c>
      <c r="Y384" s="140">
        <v>167</v>
      </c>
      <c r="Z384" s="144">
        <v>0</v>
      </c>
      <c r="AA384" s="140">
        <v>128</v>
      </c>
      <c r="AB384" s="144">
        <v>11.72</v>
      </c>
    </row>
    <row r="385" spans="1:28" s="445" customFormat="1" x14ac:dyDescent="0.25">
      <c r="A385" s="460"/>
      <c r="B385" s="139" t="s">
        <v>153</v>
      </c>
      <c r="C385" s="140">
        <v>2</v>
      </c>
      <c r="D385" s="141">
        <v>26987260</v>
      </c>
      <c r="E385" s="140" t="s">
        <v>23</v>
      </c>
      <c r="F385" s="140" t="s">
        <v>43</v>
      </c>
      <c r="G385" s="145" t="s">
        <v>25</v>
      </c>
      <c r="H385" s="139" t="s">
        <v>26</v>
      </c>
      <c r="I385" s="142" t="s">
        <v>1717</v>
      </c>
      <c r="J385" s="143" t="s">
        <v>1718</v>
      </c>
      <c r="K385" s="145" t="s">
        <v>29</v>
      </c>
      <c r="L385" s="139" t="s">
        <v>39</v>
      </c>
      <c r="M385" s="139" t="s">
        <v>51</v>
      </c>
      <c r="N385" s="444"/>
      <c r="O385" s="444"/>
      <c r="P385" s="444"/>
      <c r="Q385" s="444"/>
      <c r="R385" s="444"/>
      <c r="S385" s="140"/>
      <c r="T385" s="145"/>
      <c r="U385" s="139"/>
      <c r="V385" s="139" t="s">
        <v>1719</v>
      </c>
      <c r="W385" s="139" t="s">
        <v>1720</v>
      </c>
      <c r="X385" s="139" t="s">
        <v>1721</v>
      </c>
      <c r="Y385" s="140">
        <v>155</v>
      </c>
      <c r="Z385" s="144">
        <v>0</v>
      </c>
      <c r="AA385" s="140">
        <v>122</v>
      </c>
      <c r="AB385" s="144">
        <v>10.66</v>
      </c>
    </row>
    <row r="386" spans="1:28" s="445" customFormat="1" x14ac:dyDescent="0.25">
      <c r="A386" s="460"/>
      <c r="B386" s="139" t="s">
        <v>153</v>
      </c>
      <c r="C386" s="140">
        <v>2</v>
      </c>
      <c r="D386" s="141">
        <v>63282658</v>
      </c>
      <c r="E386" s="140" t="s">
        <v>23</v>
      </c>
      <c r="F386" s="140" t="s">
        <v>24</v>
      </c>
      <c r="G386" s="145" t="s">
        <v>25</v>
      </c>
      <c r="H386" s="139" t="s">
        <v>73</v>
      </c>
      <c r="I386" s="142" t="s">
        <v>1722</v>
      </c>
      <c r="J386" s="143" t="s">
        <v>1723</v>
      </c>
      <c r="K386" s="145" t="s">
        <v>29</v>
      </c>
      <c r="L386" s="139" t="s">
        <v>30</v>
      </c>
      <c r="M386" s="139" t="s">
        <v>56</v>
      </c>
      <c r="N386" s="444"/>
      <c r="O386" s="444"/>
      <c r="P386" s="444"/>
      <c r="Q386" s="444"/>
      <c r="R386" s="444"/>
      <c r="S386" s="140"/>
      <c r="T386" s="145"/>
      <c r="U386" s="139"/>
      <c r="V386" s="139" t="s">
        <v>1724</v>
      </c>
      <c r="W386" s="139" t="s">
        <v>1725</v>
      </c>
      <c r="X386" s="139" t="s">
        <v>1726</v>
      </c>
      <c r="Y386" s="140">
        <v>81</v>
      </c>
      <c r="Z386" s="144">
        <v>0</v>
      </c>
      <c r="AA386" s="140">
        <v>59</v>
      </c>
      <c r="AB386" s="144">
        <v>16.95</v>
      </c>
    </row>
    <row r="387" spans="1:28" s="445" customFormat="1" ht="30" x14ac:dyDescent="0.25">
      <c r="A387" s="460"/>
      <c r="B387" s="139" t="s">
        <v>153</v>
      </c>
      <c r="C387" s="140">
        <v>2</v>
      </c>
      <c r="D387" s="141">
        <v>109421370</v>
      </c>
      <c r="E387" s="140" t="s">
        <v>24</v>
      </c>
      <c r="F387" s="140" t="s">
        <v>43</v>
      </c>
      <c r="G387" s="145" t="s">
        <v>25</v>
      </c>
      <c r="H387" s="139" t="s">
        <v>273</v>
      </c>
      <c r="I387" s="142" t="s">
        <v>1727</v>
      </c>
      <c r="J387" s="143" t="s">
        <v>1728</v>
      </c>
      <c r="K387" s="145" t="s">
        <v>109</v>
      </c>
      <c r="L387" s="139"/>
      <c r="M387" s="139"/>
      <c r="N387" s="444"/>
      <c r="O387" s="444"/>
      <c r="P387" s="444"/>
      <c r="Q387" s="444"/>
      <c r="R387" s="444"/>
      <c r="S387" s="140"/>
      <c r="T387" s="145"/>
      <c r="U387" s="139"/>
      <c r="V387" s="139" t="s">
        <v>52</v>
      </c>
      <c r="W387" s="139" t="s">
        <v>1729</v>
      </c>
      <c r="X387" s="139" t="s">
        <v>1730</v>
      </c>
      <c r="Y387" s="140">
        <v>80</v>
      </c>
      <c r="Z387" s="144">
        <v>0</v>
      </c>
      <c r="AA387" s="140">
        <v>47</v>
      </c>
      <c r="AB387" s="144">
        <v>14.89</v>
      </c>
    </row>
    <row r="388" spans="1:28" s="445" customFormat="1" x14ac:dyDescent="0.25">
      <c r="A388" s="460"/>
      <c r="B388" s="139" t="s">
        <v>153</v>
      </c>
      <c r="C388" s="140">
        <v>2</v>
      </c>
      <c r="D388" s="141">
        <v>228159286</v>
      </c>
      <c r="E388" s="140" t="s">
        <v>43</v>
      </c>
      <c r="F388" s="140" t="s">
        <v>24</v>
      </c>
      <c r="G388" s="145" t="s">
        <v>25</v>
      </c>
      <c r="H388" s="139" t="s">
        <v>26</v>
      </c>
      <c r="I388" s="142" t="s">
        <v>1731</v>
      </c>
      <c r="J388" s="143" t="s">
        <v>1732</v>
      </c>
      <c r="K388" s="145" t="s">
        <v>29</v>
      </c>
      <c r="L388" s="139" t="s">
        <v>30</v>
      </c>
      <c r="M388" s="139" t="s">
        <v>56</v>
      </c>
      <c r="N388" s="444"/>
      <c r="O388" s="444"/>
      <c r="P388" s="444"/>
      <c r="Q388" s="444"/>
      <c r="R388" s="444"/>
      <c r="S388" s="140"/>
      <c r="T388" s="145"/>
      <c r="U388" s="139"/>
      <c r="V388" s="139" t="s">
        <v>1733</v>
      </c>
      <c r="W388" s="139" t="s">
        <v>1734</v>
      </c>
      <c r="X388" s="139" t="s">
        <v>1735</v>
      </c>
      <c r="Y388" s="140">
        <v>61</v>
      </c>
      <c r="Z388" s="144">
        <v>0</v>
      </c>
      <c r="AA388" s="140">
        <v>63</v>
      </c>
      <c r="AB388" s="144">
        <v>12.7</v>
      </c>
    </row>
    <row r="389" spans="1:28" s="445" customFormat="1" x14ac:dyDescent="0.25">
      <c r="A389" s="460"/>
      <c r="B389" s="139" t="s">
        <v>153</v>
      </c>
      <c r="C389" s="140">
        <v>2</v>
      </c>
      <c r="D389" s="141">
        <v>231081508</v>
      </c>
      <c r="E389" s="140" t="s">
        <v>23</v>
      </c>
      <c r="F389" s="140" t="s">
        <v>35</v>
      </c>
      <c r="G389" s="145" t="s">
        <v>25</v>
      </c>
      <c r="H389" s="139" t="s">
        <v>26</v>
      </c>
      <c r="I389" s="142" t="s">
        <v>1736</v>
      </c>
      <c r="J389" s="143" t="s">
        <v>1737</v>
      </c>
      <c r="K389" s="145" t="s">
        <v>29</v>
      </c>
      <c r="L389" s="139" t="s">
        <v>39</v>
      </c>
      <c r="M389" s="139" t="s">
        <v>51</v>
      </c>
      <c r="N389" s="444"/>
      <c r="O389" s="444"/>
      <c r="P389" s="444"/>
      <c r="Q389" s="444"/>
      <c r="R389" s="444"/>
      <c r="S389" s="140"/>
      <c r="T389" s="145"/>
      <c r="U389" s="139"/>
      <c r="V389" s="139" t="s">
        <v>1738</v>
      </c>
      <c r="W389" s="139" t="s">
        <v>1739</v>
      </c>
      <c r="X389" s="139" t="s">
        <v>1740</v>
      </c>
      <c r="Y389" s="140">
        <v>71</v>
      </c>
      <c r="Z389" s="144">
        <v>0</v>
      </c>
      <c r="AA389" s="140">
        <v>59</v>
      </c>
      <c r="AB389" s="144">
        <v>25.42</v>
      </c>
    </row>
    <row r="390" spans="1:28" s="445" customFormat="1" x14ac:dyDescent="0.25">
      <c r="A390" s="460"/>
      <c r="B390" s="139" t="s">
        <v>153</v>
      </c>
      <c r="C390" s="140">
        <v>3</v>
      </c>
      <c r="D390" s="141">
        <v>49740099</v>
      </c>
      <c r="E390" s="140" t="s">
        <v>43</v>
      </c>
      <c r="F390" s="140" t="s">
        <v>24</v>
      </c>
      <c r="G390" s="145" t="s">
        <v>25</v>
      </c>
      <c r="H390" s="139" t="s">
        <v>73</v>
      </c>
      <c r="I390" s="142" t="s">
        <v>1741</v>
      </c>
      <c r="J390" s="143" t="s">
        <v>1742</v>
      </c>
      <c r="K390" s="145" t="s">
        <v>29</v>
      </c>
      <c r="L390" s="139" t="s">
        <v>30</v>
      </c>
      <c r="M390" s="139" t="s">
        <v>56</v>
      </c>
      <c r="N390" s="444"/>
      <c r="O390" s="444"/>
      <c r="P390" s="444"/>
      <c r="Q390" s="444"/>
      <c r="R390" s="444"/>
      <c r="S390" s="140"/>
      <c r="T390" s="145"/>
      <c r="U390" s="139"/>
      <c r="V390" s="139" t="s">
        <v>618</v>
      </c>
      <c r="W390" s="139" t="s">
        <v>1743</v>
      </c>
      <c r="X390" s="139" t="s">
        <v>1744</v>
      </c>
      <c r="Y390" s="140">
        <v>57</v>
      </c>
      <c r="Z390" s="144">
        <v>0</v>
      </c>
      <c r="AA390" s="140">
        <v>69</v>
      </c>
      <c r="AB390" s="144">
        <v>23.19</v>
      </c>
    </row>
    <row r="391" spans="1:28" s="445" customFormat="1" x14ac:dyDescent="0.25">
      <c r="A391" s="460"/>
      <c r="B391" s="139" t="s">
        <v>153</v>
      </c>
      <c r="C391" s="140">
        <v>3</v>
      </c>
      <c r="D391" s="141">
        <v>50339776</v>
      </c>
      <c r="E391" s="140" t="s">
        <v>43</v>
      </c>
      <c r="F391" s="140" t="s">
        <v>24</v>
      </c>
      <c r="G391" s="145" t="s">
        <v>25</v>
      </c>
      <c r="H391" s="139" t="s">
        <v>663</v>
      </c>
      <c r="I391" s="142" t="s">
        <v>1745</v>
      </c>
      <c r="J391" s="143" t="s">
        <v>1746</v>
      </c>
      <c r="K391" s="145" t="s">
        <v>29</v>
      </c>
      <c r="L391" s="139" t="s">
        <v>30</v>
      </c>
      <c r="M391" s="139" t="s">
        <v>51</v>
      </c>
      <c r="N391" s="444"/>
      <c r="O391" s="444"/>
      <c r="P391" s="444"/>
      <c r="Q391" s="444"/>
      <c r="R391" s="444"/>
      <c r="S391" s="140"/>
      <c r="T391" s="145"/>
      <c r="U391" s="139"/>
      <c r="V391" s="139" t="s">
        <v>618</v>
      </c>
      <c r="W391" s="139" t="s">
        <v>1747</v>
      </c>
      <c r="X391" s="139" t="s">
        <v>1748</v>
      </c>
      <c r="Y391" s="140">
        <v>54</v>
      </c>
      <c r="Z391" s="144">
        <v>0</v>
      </c>
      <c r="AA391" s="140">
        <v>38</v>
      </c>
      <c r="AB391" s="144">
        <v>18.420000000000002</v>
      </c>
    </row>
    <row r="392" spans="1:28" s="445" customFormat="1" x14ac:dyDescent="0.25">
      <c r="A392" s="460"/>
      <c r="B392" s="139" t="s">
        <v>153</v>
      </c>
      <c r="C392" s="140">
        <v>3</v>
      </c>
      <c r="D392" s="141">
        <v>53694218</v>
      </c>
      <c r="E392" s="140" t="s">
        <v>35</v>
      </c>
      <c r="F392" s="140" t="s">
        <v>23</v>
      </c>
      <c r="G392" s="145" t="s">
        <v>25</v>
      </c>
      <c r="H392" s="139" t="s">
        <v>26</v>
      </c>
      <c r="I392" s="142" t="s">
        <v>1749</v>
      </c>
      <c r="J392" s="143" t="s">
        <v>1750</v>
      </c>
      <c r="K392" s="145" t="s">
        <v>29</v>
      </c>
      <c r="L392" s="139" t="s">
        <v>39</v>
      </c>
      <c r="M392" s="139" t="s">
        <v>51</v>
      </c>
      <c r="N392" s="444"/>
      <c r="O392" s="444"/>
      <c r="P392" s="444"/>
      <c r="Q392" s="444"/>
      <c r="R392" s="444"/>
      <c r="S392" s="140"/>
      <c r="T392" s="145"/>
      <c r="U392" s="139"/>
      <c r="V392" s="139" t="s">
        <v>405</v>
      </c>
      <c r="W392" s="139" t="s">
        <v>1751</v>
      </c>
      <c r="X392" s="139" t="s">
        <v>1752</v>
      </c>
      <c r="Y392" s="140">
        <v>58</v>
      </c>
      <c r="Z392" s="144">
        <v>0</v>
      </c>
      <c r="AA392" s="140">
        <v>59</v>
      </c>
      <c r="AB392" s="144">
        <v>22.03</v>
      </c>
    </row>
    <row r="393" spans="1:28" s="445" customFormat="1" x14ac:dyDescent="0.25">
      <c r="A393" s="460"/>
      <c r="B393" s="139" t="s">
        <v>153</v>
      </c>
      <c r="C393" s="140">
        <v>3</v>
      </c>
      <c r="D393" s="141">
        <v>107474523</v>
      </c>
      <c r="E393" s="140" t="s">
        <v>43</v>
      </c>
      <c r="F393" s="140" t="s">
        <v>23</v>
      </c>
      <c r="G393" s="145" t="s">
        <v>25</v>
      </c>
      <c r="H393" s="139" t="s">
        <v>26</v>
      </c>
      <c r="I393" s="142" t="s">
        <v>1753</v>
      </c>
      <c r="J393" s="143" t="s">
        <v>1754</v>
      </c>
      <c r="K393" s="145" t="s">
        <v>29</v>
      </c>
      <c r="L393" s="139" t="s">
        <v>30</v>
      </c>
      <c r="M393" s="139" t="s">
        <v>56</v>
      </c>
      <c r="N393" s="444"/>
      <c r="O393" s="444"/>
      <c r="P393" s="444"/>
      <c r="Q393" s="444"/>
      <c r="R393" s="444"/>
      <c r="S393" s="140"/>
      <c r="T393" s="145"/>
      <c r="U393" s="139"/>
      <c r="V393" s="139" t="s">
        <v>131</v>
      </c>
      <c r="W393" s="139" t="s">
        <v>1755</v>
      </c>
      <c r="X393" s="139" t="s">
        <v>1756</v>
      </c>
      <c r="Y393" s="140">
        <v>85</v>
      </c>
      <c r="Z393" s="144">
        <v>0</v>
      </c>
      <c r="AA393" s="140">
        <v>85</v>
      </c>
      <c r="AB393" s="144">
        <v>14.12</v>
      </c>
    </row>
    <row r="394" spans="1:28" s="445" customFormat="1" x14ac:dyDescent="0.25">
      <c r="A394" s="460"/>
      <c r="B394" s="139" t="s">
        <v>153</v>
      </c>
      <c r="C394" s="140">
        <v>3</v>
      </c>
      <c r="D394" s="141">
        <v>123021981</v>
      </c>
      <c r="E394" s="140" t="s">
        <v>43</v>
      </c>
      <c r="F394" s="140" t="s">
        <v>35</v>
      </c>
      <c r="G394" s="145" t="s">
        <v>25</v>
      </c>
      <c r="H394" s="139" t="s">
        <v>26</v>
      </c>
      <c r="I394" s="142" t="s">
        <v>1757</v>
      </c>
      <c r="J394" s="143" t="s">
        <v>1758</v>
      </c>
      <c r="K394" s="145" t="s">
        <v>29</v>
      </c>
      <c r="L394" s="139" t="s">
        <v>39</v>
      </c>
      <c r="M394" s="139" t="s">
        <v>51</v>
      </c>
      <c r="N394" s="444">
        <v>112913957</v>
      </c>
      <c r="O394" s="444" t="s">
        <v>4182</v>
      </c>
      <c r="P394" s="444" t="s">
        <v>4212</v>
      </c>
      <c r="Q394" s="444" t="s">
        <v>4213</v>
      </c>
      <c r="R394" s="444" t="s">
        <v>4214</v>
      </c>
      <c r="S394" s="140"/>
      <c r="T394" s="145"/>
      <c r="U394" s="139"/>
      <c r="V394" s="139" t="s">
        <v>752</v>
      </c>
      <c r="W394" s="139" t="s">
        <v>1759</v>
      </c>
      <c r="X394" s="139" t="s">
        <v>1760</v>
      </c>
      <c r="Y394" s="140">
        <v>76</v>
      </c>
      <c r="Z394" s="144">
        <v>0</v>
      </c>
      <c r="AA394" s="140">
        <v>76</v>
      </c>
      <c r="AB394" s="144">
        <v>14.47</v>
      </c>
    </row>
    <row r="395" spans="1:28" s="445" customFormat="1" x14ac:dyDescent="0.25">
      <c r="A395" s="460"/>
      <c r="B395" s="139" t="s">
        <v>153</v>
      </c>
      <c r="C395" s="140">
        <v>4</v>
      </c>
      <c r="D395" s="141">
        <v>54440086</v>
      </c>
      <c r="E395" s="140" t="s">
        <v>43</v>
      </c>
      <c r="F395" s="140" t="s">
        <v>24</v>
      </c>
      <c r="G395" s="145" t="s">
        <v>25</v>
      </c>
      <c r="H395" s="139" t="s">
        <v>26</v>
      </c>
      <c r="I395" s="142" t="s">
        <v>1761</v>
      </c>
      <c r="J395" s="143" t="s">
        <v>1762</v>
      </c>
      <c r="K395" s="145" t="s">
        <v>29</v>
      </c>
      <c r="L395" s="139" t="s">
        <v>92</v>
      </c>
      <c r="M395" s="139" t="s">
        <v>51</v>
      </c>
      <c r="N395" s="444"/>
      <c r="O395" s="444"/>
      <c r="P395" s="444"/>
      <c r="Q395" s="444"/>
      <c r="R395" s="444"/>
      <c r="S395" s="140"/>
      <c r="T395" s="145"/>
      <c r="U395" s="139"/>
      <c r="V395" s="139" t="s">
        <v>468</v>
      </c>
      <c r="W395" s="139" t="s">
        <v>1763</v>
      </c>
      <c r="X395" s="139" t="s">
        <v>1764</v>
      </c>
      <c r="Y395" s="140">
        <v>42</v>
      </c>
      <c r="Z395" s="144">
        <v>0</v>
      </c>
      <c r="AA395" s="140">
        <v>65</v>
      </c>
      <c r="AB395" s="144">
        <v>20</v>
      </c>
    </row>
    <row r="396" spans="1:28" s="445" customFormat="1" x14ac:dyDescent="0.25">
      <c r="A396" s="460"/>
      <c r="B396" s="139" t="s">
        <v>153</v>
      </c>
      <c r="C396" s="140">
        <v>4</v>
      </c>
      <c r="D396" s="141">
        <v>70719985</v>
      </c>
      <c r="E396" s="140" t="s">
        <v>43</v>
      </c>
      <c r="F396" s="140" t="s">
        <v>24</v>
      </c>
      <c r="G396" s="145" t="s">
        <v>25</v>
      </c>
      <c r="H396" s="139" t="s">
        <v>26</v>
      </c>
      <c r="I396" s="142" t="s">
        <v>1765</v>
      </c>
      <c r="J396" s="143" t="s">
        <v>1766</v>
      </c>
      <c r="K396" s="145" t="s">
        <v>29</v>
      </c>
      <c r="L396" s="139" t="s">
        <v>30</v>
      </c>
      <c r="M396" s="139" t="s">
        <v>56</v>
      </c>
      <c r="N396" s="444"/>
      <c r="O396" s="444"/>
      <c r="P396" s="444"/>
      <c r="Q396" s="444"/>
      <c r="R396" s="444"/>
      <c r="S396" s="140"/>
      <c r="T396" s="145"/>
      <c r="U396" s="139"/>
      <c r="V396" s="139" t="s">
        <v>208</v>
      </c>
      <c r="W396" s="139" t="s">
        <v>1767</v>
      </c>
      <c r="X396" s="139" t="s">
        <v>1768</v>
      </c>
      <c r="Y396" s="140">
        <v>40</v>
      </c>
      <c r="Z396" s="144">
        <v>0</v>
      </c>
      <c r="AA396" s="140">
        <v>70</v>
      </c>
      <c r="AB396" s="144">
        <v>15.71</v>
      </c>
    </row>
    <row r="397" spans="1:28" s="445" customFormat="1" x14ac:dyDescent="0.25">
      <c r="A397" s="460"/>
      <c r="B397" s="139" t="s">
        <v>153</v>
      </c>
      <c r="C397" s="140">
        <v>5</v>
      </c>
      <c r="D397" s="141">
        <v>60063705</v>
      </c>
      <c r="E397" s="140" t="s">
        <v>23</v>
      </c>
      <c r="F397" s="140" t="s">
        <v>24</v>
      </c>
      <c r="G397" s="145" t="s">
        <v>25</v>
      </c>
      <c r="H397" s="139" t="s">
        <v>26</v>
      </c>
      <c r="I397" s="142" t="s">
        <v>1769</v>
      </c>
      <c r="J397" s="143" t="s">
        <v>1770</v>
      </c>
      <c r="K397" s="145" t="s">
        <v>29</v>
      </c>
      <c r="L397" s="139" t="s">
        <v>39</v>
      </c>
      <c r="M397" s="139" t="s">
        <v>56</v>
      </c>
      <c r="N397" s="444"/>
      <c r="O397" s="444"/>
      <c r="P397" s="444"/>
      <c r="Q397" s="444"/>
      <c r="R397" s="444"/>
      <c r="S397" s="140"/>
      <c r="T397" s="145"/>
      <c r="U397" s="139"/>
      <c r="V397" s="139" t="s">
        <v>299</v>
      </c>
      <c r="W397" s="139" t="s">
        <v>1771</v>
      </c>
      <c r="X397" s="139" t="s">
        <v>1772</v>
      </c>
      <c r="Y397" s="140">
        <v>97</v>
      </c>
      <c r="Z397" s="144">
        <v>0</v>
      </c>
      <c r="AA397" s="140">
        <v>70</v>
      </c>
      <c r="AB397" s="144">
        <v>18.57</v>
      </c>
    </row>
    <row r="398" spans="1:28" s="445" customFormat="1" x14ac:dyDescent="0.25">
      <c r="A398" s="460"/>
      <c r="B398" s="139" t="s">
        <v>153</v>
      </c>
      <c r="C398" s="140">
        <v>5</v>
      </c>
      <c r="D398" s="141">
        <v>93217282</v>
      </c>
      <c r="E398" s="140" t="s">
        <v>23</v>
      </c>
      <c r="F398" s="140" t="s">
        <v>35</v>
      </c>
      <c r="G398" s="145" t="s">
        <v>25</v>
      </c>
      <c r="H398" s="139" t="s">
        <v>73</v>
      </c>
      <c r="I398" s="142" t="s">
        <v>1773</v>
      </c>
      <c r="J398" s="143" t="s">
        <v>1774</v>
      </c>
      <c r="K398" s="145" t="s">
        <v>29</v>
      </c>
      <c r="L398" s="139" t="s">
        <v>39</v>
      </c>
      <c r="M398" s="139" t="s">
        <v>56</v>
      </c>
      <c r="N398" s="444"/>
      <c r="O398" s="444"/>
      <c r="P398" s="444"/>
      <c r="Q398" s="444"/>
      <c r="R398" s="444"/>
      <c r="S398" s="140"/>
      <c r="T398" s="145"/>
      <c r="U398" s="139"/>
      <c r="V398" s="139" t="s">
        <v>1775</v>
      </c>
      <c r="W398" s="139" t="s">
        <v>1776</v>
      </c>
      <c r="X398" s="139" t="s">
        <v>1777</v>
      </c>
      <c r="Y398" s="140">
        <v>99</v>
      </c>
      <c r="Z398" s="144">
        <v>0</v>
      </c>
      <c r="AA398" s="140">
        <v>74</v>
      </c>
      <c r="AB398" s="144">
        <v>21.62</v>
      </c>
    </row>
    <row r="399" spans="1:28" s="445" customFormat="1" x14ac:dyDescent="0.25">
      <c r="A399" s="460"/>
      <c r="B399" s="139" t="s">
        <v>153</v>
      </c>
      <c r="C399" s="140">
        <v>6</v>
      </c>
      <c r="D399" s="141">
        <v>31630303</v>
      </c>
      <c r="E399" s="140" t="s">
        <v>23</v>
      </c>
      <c r="F399" s="140" t="s">
        <v>35</v>
      </c>
      <c r="G399" s="145" t="s">
        <v>25</v>
      </c>
      <c r="H399" s="139" t="s">
        <v>776</v>
      </c>
      <c r="I399" s="142" t="s">
        <v>1778</v>
      </c>
      <c r="J399" s="143" t="s">
        <v>1779</v>
      </c>
      <c r="K399" s="145" t="s">
        <v>109</v>
      </c>
      <c r="L399" s="139"/>
      <c r="M399" s="139"/>
      <c r="N399" s="444"/>
      <c r="O399" s="444"/>
      <c r="P399" s="444"/>
      <c r="Q399" s="444"/>
      <c r="R399" s="444"/>
      <c r="S399" s="140"/>
      <c r="T399" s="145"/>
      <c r="U399" s="139"/>
      <c r="V399" s="139" t="s">
        <v>1331</v>
      </c>
      <c r="W399" s="139" t="s">
        <v>1780</v>
      </c>
      <c r="X399" s="139" t="s">
        <v>1781</v>
      </c>
      <c r="Y399" s="140">
        <v>75</v>
      </c>
      <c r="Z399" s="144">
        <v>0</v>
      </c>
      <c r="AA399" s="140">
        <v>69</v>
      </c>
      <c r="AB399" s="144">
        <v>10.14</v>
      </c>
    </row>
    <row r="400" spans="1:28" s="445" customFormat="1" x14ac:dyDescent="0.25">
      <c r="A400" s="460"/>
      <c r="B400" s="139" t="s">
        <v>153</v>
      </c>
      <c r="C400" s="140">
        <v>6</v>
      </c>
      <c r="D400" s="141">
        <v>31857043</v>
      </c>
      <c r="E400" s="140" t="s">
        <v>23</v>
      </c>
      <c r="F400" s="140" t="s">
        <v>24</v>
      </c>
      <c r="G400" s="145" t="s">
        <v>25</v>
      </c>
      <c r="H400" s="139" t="s">
        <v>26</v>
      </c>
      <c r="I400" s="142" t="s">
        <v>1782</v>
      </c>
      <c r="J400" s="143" t="s">
        <v>1783</v>
      </c>
      <c r="K400" s="145" t="s">
        <v>29</v>
      </c>
      <c r="L400" s="139" t="s">
        <v>30</v>
      </c>
      <c r="M400" s="139" t="s">
        <v>31</v>
      </c>
      <c r="N400" s="444">
        <v>764928246</v>
      </c>
      <c r="O400" s="444"/>
      <c r="P400" s="444"/>
      <c r="Q400" s="444" t="s">
        <v>4181</v>
      </c>
      <c r="R400" s="444" t="s">
        <v>4180</v>
      </c>
      <c r="S400" s="140"/>
      <c r="T400" s="145"/>
      <c r="U400" s="139"/>
      <c r="V400" s="139" t="s">
        <v>1331</v>
      </c>
      <c r="W400" s="139" t="s">
        <v>1784</v>
      </c>
      <c r="X400" s="139" t="s">
        <v>1785</v>
      </c>
      <c r="Y400" s="140">
        <v>110</v>
      </c>
      <c r="Z400" s="144">
        <v>0</v>
      </c>
      <c r="AA400" s="140">
        <v>73</v>
      </c>
      <c r="AB400" s="144">
        <v>17.809999999999999</v>
      </c>
    </row>
    <row r="401" spans="1:28" s="445" customFormat="1" x14ac:dyDescent="0.25">
      <c r="A401" s="460"/>
      <c r="B401" s="139" t="s">
        <v>153</v>
      </c>
      <c r="C401" s="140">
        <v>6</v>
      </c>
      <c r="D401" s="141">
        <v>32782162</v>
      </c>
      <c r="E401" s="140" t="s">
        <v>35</v>
      </c>
      <c r="F401" s="140" t="s">
        <v>24</v>
      </c>
      <c r="G401" s="145" t="s">
        <v>25</v>
      </c>
      <c r="H401" s="139" t="s">
        <v>26</v>
      </c>
      <c r="I401" s="142" t="s">
        <v>1786</v>
      </c>
      <c r="J401" s="143" t="s">
        <v>1787</v>
      </c>
      <c r="K401" s="145" t="s">
        <v>29</v>
      </c>
      <c r="L401" s="139" t="s">
        <v>39</v>
      </c>
      <c r="M401" s="139" t="s">
        <v>56</v>
      </c>
      <c r="N401" s="444"/>
      <c r="O401" s="444"/>
      <c r="P401" s="444"/>
      <c r="Q401" s="444"/>
      <c r="R401" s="444"/>
      <c r="S401" s="140"/>
      <c r="T401" s="145"/>
      <c r="U401" s="139"/>
      <c r="V401" s="139" t="s">
        <v>228</v>
      </c>
      <c r="W401" s="139" t="s">
        <v>1788</v>
      </c>
      <c r="X401" s="139" t="s">
        <v>1789</v>
      </c>
      <c r="Y401" s="140">
        <v>110</v>
      </c>
      <c r="Z401" s="144">
        <v>0</v>
      </c>
      <c r="AA401" s="140">
        <v>68</v>
      </c>
      <c r="AB401" s="144">
        <v>14.71</v>
      </c>
    </row>
    <row r="402" spans="1:28" s="445" customFormat="1" ht="30" x14ac:dyDescent="0.25">
      <c r="A402" s="460"/>
      <c r="B402" s="139" t="s">
        <v>153</v>
      </c>
      <c r="C402" s="140">
        <v>6</v>
      </c>
      <c r="D402" s="141">
        <v>90340493</v>
      </c>
      <c r="E402" s="140" t="s">
        <v>43</v>
      </c>
      <c r="F402" s="140" t="s">
        <v>35</v>
      </c>
      <c r="G402" s="145" t="s">
        <v>25</v>
      </c>
      <c r="H402" s="139" t="s">
        <v>26</v>
      </c>
      <c r="I402" s="142" t="s">
        <v>1790</v>
      </c>
      <c r="J402" s="143" t="s">
        <v>1791</v>
      </c>
      <c r="K402" s="145" t="s">
        <v>29</v>
      </c>
      <c r="L402" s="139" t="s">
        <v>39</v>
      </c>
      <c r="M402" s="139" t="s">
        <v>51</v>
      </c>
      <c r="N402" s="444">
        <v>774618876</v>
      </c>
      <c r="O402" s="444"/>
      <c r="P402" s="444"/>
      <c r="Q402" s="444" t="s">
        <v>4181</v>
      </c>
      <c r="R402" s="444" t="s">
        <v>4181</v>
      </c>
      <c r="S402" s="140"/>
      <c r="T402" s="145"/>
      <c r="U402" s="139"/>
      <c r="V402" s="139" t="s">
        <v>1775</v>
      </c>
      <c r="W402" s="139" t="s">
        <v>1792</v>
      </c>
      <c r="X402" s="139" t="s">
        <v>1793</v>
      </c>
      <c r="Y402" s="140">
        <v>83</v>
      </c>
      <c r="Z402" s="144">
        <v>0</v>
      </c>
      <c r="AA402" s="140">
        <v>68</v>
      </c>
      <c r="AB402" s="144">
        <v>22.06</v>
      </c>
    </row>
    <row r="403" spans="1:28" s="445" customFormat="1" x14ac:dyDescent="0.25">
      <c r="A403" s="460"/>
      <c r="B403" s="139" t="s">
        <v>153</v>
      </c>
      <c r="C403" s="140">
        <v>7</v>
      </c>
      <c r="D403" s="141">
        <v>23207508</v>
      </c>
      <c r="E403" s="140" t="s">
        <v>23</v>
      </c>
      <c r="F403" s="140" t="s">
        <v>35</v>
      </c>
      <c r="G403" s="145" t="s">
        <v>25</v>
      </c>
      <c r="H403" s="139" t="s">
        <v>73</v>
      </c>
      <c r="I403" s="142" t="s">
        <v>1794</v>
      </c>
      <c r="J403" s="143" t="s">
        <v>1795</v>
      </c>
      <c r="K403" s="145" t="s">
        <v>29</v>
      </c>
      <c r="L403" s="139" t="s">
        <v>39</v>
      </c>
      <c r="M403" s="139" t="s">
        <v>51</v>
      </c>
      <c r="N403" s="444"/>
      <c r="O403" s="444"/>
      <c r="P403" s="444"/>
      <c r="Q403" s="444"/>
      <c r="R403" s="444"/>
      <c r="S403" s="140"/>
      <c r="T403" s="145"/>
      <c r="U403" s="139"/>
      <c r="V403" s="139" t="s">
        <v>438</v>
      </c>
      <c r="W403" s="139" t="s">
        <v>1796</v>
      </c>
      <c r="X403" s="139" t="s">
        <v>1797</v>
      </c>
      <c r="Y403" s="140">
        <v>103</v>
      </c>
      <c r="Z403" s="144">
        <v>0</v>
      </c>
      <c r="AA403" s="140">
        <v>107</v>
      </c>
      <c r="AB403" s="144">
        <v>11.21</v>
      </c>
    </row>
    <row r="404" spans="1:28" s="445" customFormat="1" x14ac:dyDescent="0.25">
      <c r="A404" s="460"/>
      <c r="B404" s="139" t="s">
        <v>153</v>
      </c>
      <c r="C404" s="140">
        <v>7</v>
      </c>
      <c r="D404" s="141">
        <v>49815715</v>
      </c>
      <c r="E404" s="140" t="s">
        <v>43</v>
      </c>
      <c r="F404" s="140" t="s">
        <v>24</v>
      </c>
      <c r="G404" s="145" t="s">
        <v>25</v>
      </c>
      <c r="H404" s="139" t="s">
        <v>73</v>
      </c>
      <c r="I404" s="142" t="s">
        <v>1798</v>
      </c>
      <c r="J404" s="143" t="s">
        <v>1799</v>
      </c>
      <c r="K404" s="145" t="s">
        <v>29</v>
      </c>
      <c r="L404" s="139" t="s">
        <v>30</v>
      </c>
      <c r="M404" s="139" t="s">
        <v>56</v>
      </c>
      <c r="N404" s="444"/>
      <c r="O404" s="444"/>
      <c r="P404" s="444"/>
      <c r="Q404" s="444"/>
      <c r="R404" s="444"/>
      <c r="S404" s="140"/>
      <c r="T404" s="145"/>
      <c r="U404" s="139"/>
      <c r="V404" s="139" t="s">
        <v>1800</v>
      </c>
      <c r="W404" s="139" t="s">
        <v>1801</v>
      </c>
      <c r="X404" s="139" t="s">
        <v>1802</v>
      </c>
      <c r="Y404" s="140">
        <v>80</v>
      </c>
      <c r="Z404" s="144">
        <v>0</v>
      </c>
      <c r="AA404" s="140">
        <v>111</v>
      </c>
      <c r="AB404" s="144">
        <v>14.41</v>
      </c>
    </row>
    <row r="405" spans="1:28" s="445" customFormat="1" x14ac:dyDescent="0.25">
      <c r="A405" s="460"/>
      <c r="B405" s="139" t="s">
        <v>153</v>
      </c>
      <c r="C405" s="140">
        <v>7</v>
      </c>
      <c r="D405" s="141">
        <v>69583128</v>
      </c>
      <c r="E405" s="140" t="s">
        <v>43</v>
      </c>
      <c r="F405" s="140" t="s">
        <v>24</v>
      </c>
      <c r="G405" s="145" t="s">
        <v>25</v>
      </c>
      <c r="H405" s="139" t="s">
        <v>26</v>
      </c>
      <c r="I405" s="142" t="s">
        <v>815</v>
      </c>
      <c r="J405" s="143" t="s">
        <v>1803</v>
      </c>
      <c r="K405" s="145" t="s">
        <v>29</v>
      </c>
      <c r="L405" s="139" t="s">
        <v>30</v>
      </c>
      <c r="M405" s="139" t="s">
        <v>56</v>
      </c>
      <c r="N405" s="444"/>
      <c r="O405" s="444"/>
      <c r="P405" s="444"/>
      <c r="Q405" s="444"/>
      <c r="R405" s="444"/>
      <c r="S405" s="140"/>
      <c r="T405" s="145"/>
      <c r="U405" s="139"/>
      <c r="V405" s="139" t="s">
        <v>817</v>
      </c>
      <c r="W405" s="139" t="s">
        <v>1804</v>
      </c>
      <c r="X405" s="139" t="s">
        <v>1805</v>
      </c>
      <c r="Y405" s="140">
        <v>81</v>
      </c>
      <c r="Z405" s="144">
        <v>0</v>
      </c>
      <c r="AA405" s="140">
        <v>79</v>
      </c>
      <c r="AB405" s="144">
        <v>29.11</v>
      </c>
    </row>
    <row r="406" spans="1:28" s="445" customFormat="1" x14ac:dyDescent="0.25">
      <c r="A406" s="460"/>
      <c r="B406" s="139" t="s">
        <v>153</v>
      </c>
      <c r="C406" s="140">
        <v>7</v>
      </c>
      <c r="D406" s="141">
        <v>150655333</v>
      </c>
      <c r="E406" s="140" t="s">
        <v>23</v>
      </c>
      <c r="F406" s="140" t="s">
        <v>43</v>
      </c>
      <c r="G406" s="145" t="s">
        <v>25</v>
      </c>
      <c r="H406" s="139" t="s">
        <v>26</v>
      </c>
      <c r="I406" s="142" t="s">
        <v>1806</v>
      </c>
      <c r="J406" s="143" t="s">
        <v>1807</v>
      </c>
      <c r="K406" s="145" t="s">
        <v>29</v>
      </c>
      <c r="L406" s="139" t="s">
        <v>39</v>
      </c>
      <c r="M406" s="139" t="s">
        <v>51</v>
      </c>
      <c r="N406" s="444"/>
      <c r="O406" s="444"/>
      <c r="P406" s="444"/>
      <c r="Q406" s="444"/>
      <c r="R406" s="444"/>
      <c r="S406" s="140"/>
      <c r="T406" s="145"/>
      <c r="U406" s="139"/>
      <c r="V406" s="139" t="s">
        <v>249</v>
      </c>
      <c r="W406" s="139" t="s">
        <v>1808</v>
      </c>
      <c r="X406" s="139" t="s">
        <v>1809</v>
      </c>
      <c r="Y406" s="140">
        <v>112</v>
      </c>
      <c r="Z406" s="144">
        <v>0</v>
      </c>
      <c r="AA406" s="140">
        <v>94</v>
      </c>
      <c r="AB406" s="144">
        <v>17.02</v>
      </c>
    </row>
    <row r="407" spans="1:28" s="445" customFormat="1" ht="60" x14ac:dyDescent="0.25">
      <c r="A407" s="460"/>
      <c r="B407" s="139" t="s">
        <v>153</v>
      </c>
      <c r="C407" s="140">
        <v>8</v>
      </c>
      <c r="D407" s="141">
        <v>38271518</v>
      </c>
      <c r="E407" s="140" t="s">
        <v>23</v>
      </c>
      <c r="F407" s="140" t="s">
        <v>43</v>
      </c>
      <c r="G407" s="145" t="s">
        <v>25</v>
      </c>
      <c r="H407" s="139" t="s">
        <v>26</v>
      </c>
      <c r="I407" s="142" t="s">
        <v>1810</v>
      </c>
      <c r="J407" s="143" t="s">
        <v>1811</v>
      </c>
      <c r="K407" s="145" t="s">
        <v>29</v>
      </c>
      <c r="L407" s="139" t="s">
        <v>30</v>
      </c>
      <c r="M407" s="139" t="s">
        <v>56</v>
      </c>
      <c r="N407" s="444"/>
      <c r="O407" s="444"/>
      <c r="P407" s="444"/>
      <c r="Q407" s="444"/>
      <c r="R407" s="444"/>
      <c r="S407" s="140"/>
      <c r="T407" s="145"/>
      <c r="U407" s="139"/>
      <c r="V407" s="139" t="s">
        <v>76</v>
      </c>
      <c r="W407" s="139" t="s">
        <v>1812</v>
      </c>
      <c r="X407" s="139" t="s">
        <v>1813</v>
      </c>
      <c r="Y407" s="140">
        <v>97</v>
      </c>
      <c r="Z407" s="144">
        <v>0</v>
      </c>
      <c r="AA407" s="140">
        <v>80</v>
      </c>
      <c r="AB407" s="144">
        <v>31.25</v>
      </c>
    </row>
    <row r="408" spans="1:28" s="445" customFormat="1" x14ac:dyDescent="0.25">
      <c r="A408" s="460"/>
      <c r="B408" s="139" t="s">
        <v>153</v>
      </c>
      <c r="C408" s="140">
        <v>9</v>
      </c>
      <c r="D408" s="141">
        <v>114199251</v>
      </c>
      <c r="E408" s="140" t="s">
        <v>24</v>
      </c>
      <c r="F408" s="140" t="s">
        <v>23</v>
      </c>
      <c r="G408" s="145" t="s">
        <v>25</v>
      </c>
      <c r="H408" s="139" t="s">
        <v>26</v>
      </c>
      <c r="I408" s="142" t="s">
        <v>1814</v>
      </c>
      <c r="J408" s="143" t="s">
        <v>1815</v>
      </c>
      <c r="K408" s="145" t="s">
        <v>29</v>
      </c>
      <c r="L408" s="139" t="s">
        <v>30</v>
      </c>
      <c r="M408" s="139"/>
      <c r="N408" s="444"/>
      <c r="O408" s="444"/>
      <c r="P408" s="444"/>
      <c r="Q408" s="444"/>
      <c r="R408" s="444"/>
      <c r="S408" s="140"/>
      <c r="T408" s="145"/>
      <c r="U408" s="139"/>
      <c r="V408" s="139" t="s">
        <v>597</v>
      </c>
      <c r="W408" s="139" t="s">
        <v>1816</v>
      </c>
      <c r="X408" s="139" t="s">
        <v>1817</v>
      </c>
      <c r="Y408" s="140">
        <v>81</v>
      </c>
      <c r="Z408" s="144">
        <v>0</v>
      </c>
      <c r="AA408" s="140">
        <v>53</v>
      </c>
      <c r="AB408" s="144">
        <v>13.21</v>
      </c>
    </row>
    <row r="409" spans="1:28" s="445" customFormat="1" x14ac:dyDescent="0.25">
      <c r="A409" s="460"/>
      <c r="B409" s="139" t="s">
        <v>153</v>
      </c>
      <c r="C409" s="140">
        <v>10</v>
      </c>
      <c r="D409" s="141">
        <v>21106587</v>
      </c>
      <c r="E409" s="140" t="s">
        <v>43</v>
      </c>
      <c r="F409" s="140" t="s">
        <v>35</v>
      </c>
      <c r="G409" s="145" t="s">
        <v>25</v>
      </c>
      <c r="H409" s="139" t="s">
        <v>36</v>
      </c>
      <c r="I409" s="142" t="s">
        <v>1818</v>
      </c>
      <c r="J409" s="143" t="s">
        <v>1819</v>
      </c>
      <c r="K409" s="145" t="s">
        <v>29</v>
      </c>
      <c r="L409" s="139" t="s">
        <v>39</v>
      </c>
      <c r="M409" s="139" t="s">
        <v>51</v>
      </c>
      <c r="N409" s="444"/>
      <c r="O409" s="444"/>
      <c r="P409" s="444"/>
      <c r="Q409" s="444"/>
      <c r="R409" s="444"/>
      <c r="S409" s="140"/>
      <c r="T409" s="145"/>
      <c r="U409" s="139"/>
      <c r="V409" s="139" t="s">
        <v>1820</v>
      </c>
      <c r="W409" s="139" t="s">
        <v>1821</v>
      </c>
      <c r="X409" s="139" t="s">
        <v>1822</v>
      </c>
      <c r="Y409" s="140">
        <v>90</v>
      </c>
      <c r="Z409" s="144">
        <v>0</v>
      </c>
      <c r="AA409" s="140">
        <v>74</v>
      </c>
      <c r="AB409" s="144">
        <v>10.81</v>
      </c>
    </row>
    <row r="410" spans="1:28" s="445" customFormat="1" x14ac:dyDescent="0.25">
      <c r="A410" s="460"/>
      <c r="B410" s="139" t="s">
        <v>153</v>
      </c>
      <c r="C410" s="140">
        <v>10</v>
      </c>
      <c r="D410" s="141">
        <v>101163326</v>
      </c>
      <c r="E410" s="140" t="s">
        <v>43</v>
      </c>
      <c r="F410" s="140" t="s">
        <v>24</v>
      </c>
      <c r="G410" s="145" t="s">
        <v>25</v>
      </c>
      <c r="H410" s="139" t="s">
        <v>26</v>
      </c>
      <c r="I410" s="142" t="s">
        <v>1823</v>
      </c>
      <c r="J410" s="143" t="s">
        <v>1824</v>
      </c>
      <c r="K410" s="145" t="s">
        <v>29</v>
      </c>
      <c r="L410" s="139" t="s">
        <v>30</v>
      </c>
      <c r="M410" s="139" t="s">
        <v>31</v>
      </c>
      <c r="N410" s="444"/>
      <c r="O410" s="444"/>
      <c r="P410" s="444"/>
      <c r="Q410" s="444"/>
      <c r="R410" s="444"/>
      <c r="S410" s="140"/>
      <c r="T410" s="145"/>
      <c r="U410" s="139"/>
      <c r="V410" s="139" t="s">
        <v>115</v>
      </c>
      <c r="W410" s="139" t="s">
        <v>1825</v>
      </c>
      <c r="X410" s="139" t="s">
        <v>1826</v>
      </c>
      <c r="Y410" s="140">
        <v>71</v>
      </c>
      <c r="Z410" s="144">
        <v>0</v>
      </c>
      <c r="AA410" s="140">
        <v>68</v>
      </c>
      <c r="AB410" s="144">
        <v>11.76</v>
      </c>
    </row>
    <row r="411" spans="1:28" s="445" customFormat="1" x14ac:dyDescent="0.25">
      <c r="A411" s="460"/>
      <c r="B411" s="139" t="s">
        <v>153</v>
      </c>
      <c r="C411" s="140">
        <v>10</v>
      </c>
      <c r="D411" s="141">
        <v>121556973</v>
      </c>
      <c r="E411" s="140" t="s">
        <v>43</v>
      </c>
      <c r="F411" s="140" t="s">
        <v>35</v>
      </c>
      <c r="G411" s="145" t="s">
        <v>25</v>
      </c>
      <c r="H411" s="139" t="s">
        <v>26</v>
      </c>
      <c r="I411" s="142" t="s">
        <v>1827</v>
      </c>
      <c r="J411" s="143" t="s">
        <v>1828</v>
      </c>
      <c r="K411" s="145" t="s">
        <v>29</v>
      </c>
      <c r="L411" s="139" t="s">
        <v>30</v>
      </c>
      <c r="M411" s="139" t="s">
        <v>56</v>
      </c>
      <c r="N411" s="444"/>
      <c r="O411" s="444"/>
      <c r="P411" s="444"/>
      <c r="Q411" s="444"/>
      <c r="R411" s="444"/>
      <c r="S411" s="140"/>
      <c r="T411" s="145"/>
      <c r="U411" s="139"/>
      <c r="V411" s="139" t="s">
        <v>1829</v>
      </c>
      <c r="W411" s="139" t="s">
        <v>1830</v>
      </c>
      <c r="X411" s="139" t="s">
        <v>1831</v>
      </c>
      <c r="Y411" s="140">
        <v>106</v>
      </c>
      <c r="Z411" s="144">
        <v>0</v>
      </c>
      <c r="AA411" s="140">
        <v>68</v>
      </c>
      <c r="AB411" s="144">
        <v>25</v>
      </c>
    </row>
    <row r="412" spans="1:28" s="445" customFormat="1" x14ac:dyDescent="0.25">
      <c r="A412" s="460"/>
      <c r="B412" s="139" t="s">
        <v>153</v>
      </c>
      <c r="C412" s="140">
        <v>11</v>
      </c>
      <c r="D412" s="141">
        <v>18728564</v>
      </c>
      <c r="E412" s="140" t="s">
        <v>23</v>
      </c>
      <c r="F412" s="140"/>
      <c r="G412" s="145" t="s">
        <v>61</v>
      </c>
      <c r="H412" s="139" t="s">
        <v>26</v>
      </c>
      <c r="I412" s="142" t="s">
        <v>1832</v>
      </c>
      <c r="J412" s="143" t="s">
        <v>1833</v>
      </c>
      <c r="K412" s="145" t="s">
        <v>81</v>
      </c>
      <c r="L412" s="139"/>
      <c r="M412" s="139"/>
      <c r="N412" s="444"/>
      <c r="O412" s="444"/>
      <c r="P412" s="444"/>
      <c r="Q412" s="444"/>
      <c r="R412" s="444"/>
      <c r="S412" s="140"/>
      <c r="T412" s="145"/>
      <c r="U412" s="139"/>
      <c r="V412" s="139" t="s">
        <v>1042</v>
      </c>
      <c r="W412" s="139" t="s">
        <v>1834</v>
      </c>
      <c r="X412" s="139" t="s">
        <v>1835</v>
      </c>
      <c r="Y412" s="140">
        <v>109</v>
      </c>
      <c r="Z412" s="144">
        <v>0</v>
      </c>
      <c r="AA412" s="140">
        <v>86</v>
      </c>
      <c r="AB412" s="144">
        <v>13.95</v>
      </c>
    </row>
    <row r="413" spans="1:28" s="445" customFormat="1" x14ac:dyDescent="0.25">
      <c r="A413" s="460"/>
      <c r="B413" s="139" t="s">
        <v>153</v>
      </c>
      <c r="C413" s="140">
        <v>11</v>
      </c>
      <c r="D413" s="141">
        <v>48511213</v>
      </c>
      <c r="E413" s="140" t="s">
        <v>23</v>
      </c>
      <c r="F413" s="140" t="s">
        <v>35</v>
      </c>
      <c r="G413" s="145" t="s">
        <v>25</v>
      </c>
      <c r="H413" s="139" t="s">
        <v>26</v>
      </c>
      <c r="I413" s="142" t="s">
        <v>1836</v>
      </c>
      <c r="J413" s="143" t="s">
        <v>1837</v>
      </c>
      <c r="K413" s="145" t="s">
        <v>29</v>
      </c>
      <c r="L413" s="139" t="s">
        <v>30</v>
      </c>
      <c r="M413" s="139" t="s">
        <v>31</v>
      </c>
      <c r="N413" s="444"/>
      <c r="O413" s="444"/>
      <c r="P413" s="444"/>
      <c r="Q413" s="444"/>
      <c r="R413" s="444"/>
      <c r="S413" s="140"/>
      <c r="T413" s="145"/>
      <c r="U413" s="139"/>
      <c r="V413" s="139" t="s">
        <v>1838</v>
      </c>
      <c r="W413" s="139" t="s">
        <v>1839</v>
      </c>
      <c r="X413" s="139" t="s">
        <v>1840</v>
      </c>
      <c r="Y413" s="140">
        <v>83</v>
      </c>
      <c r="Z413" s="144">
        <v>0</v>
      </c>
      <c r="AA413" s="140">
        <v>92</v>
      </c>
      <c r="AB413" s="144">
        <v>16.3</v>
      </c>
    </row>
    <row r="414" spans="1:28" s="445" customFormat="1" x14ac:dyDescent="0.25">
      <c r="A414" s="460"/>
      <c r="B414" s="139" t="s">
        <v>153</v>
      </c>
      <c r="C414" s="140">
        <v>11</v>
      </c>
      <c r="D414" s="141">
        <v>56043126</v>
      </c>
      <c r="E414" s="140" t="s">
        <v>43</v>
      </c>
      <c r="F414" s="140" t="s">
        <v>24</v>
      </c>
      <c r="G414" s="145" t="s">
        <v>25</v>
      </c>
      <c r="H414" s="139" t="s">
        <v>26</v>
      </c>
      <c r="I414" s="142" t="s">
        <v>1841</v>
      </c>
      <c r="J414" s="143" t="s">
        <v>1842</v>
      </c>
      <c r="K414" s="145" t="s">
        <v>29</v>
      </c>
      <c r="L414" s="139"/>
      <c r="M414" s="139" t="s">
        <v>51</v>
      </c>
      <c r="N414" s="444"/>
      <c r="O414" s="444"/>
      <c r="P414" s="444"/>
      <c r="Q414" s="444"/>
      <c r="R414" s="444"/>
      <c r="S414" s="140"/>
      <c r="T414" s="145"/>
      <c r="U414" s="139"/>
      <c r="V414" s="139" t="s">
        <v>299</v>
      </c>
      <c r="W414" s="139" t="s">
        <v>1843</v>
      </c>
      <c r="X414" s="139" t="s">
        <v>1844</v>
      </c>
      <c r="Y414" s="140">
        <v>115</v>
      </c>
      <c r="Z414" s="144">
        <v>0</v>
      </c>
      <c r="AA414" s="140">
        <v>85</v>
      </c>
      <c r="AB414" s="144">
        <v>10.59</v>
      </c>
    </row>
    <row r="415" spans="1:28" s="445" customFormat="1" x14ac:dyDescent="0.25">
      <c r="A415" s="460"/>
      <c r="B415" s="139" t="s">
        <v>153</v>
      </c>
      <c r="C415" s="140">
        <v>12</v>
      </c>
      <c r="D415" s="141">
        <v>8688760</v>
      </c>
      <c r="E415" s="140" t="s">
        <v>35</v>
      </c>
      <c r="F415" s="140"/>
      <c r="G415" s="145" t="s">
        <v>61</v>
      </c>
      <c r="H415" s="139" t="s">
        <v>26</v>
      </c>
      <c r="I415" s="142" t="s">
        <v>1845</v>
      </c>
      <c r="J415" s="143" t="s">
        <v>1846</v>
      </c>
      <c r="K415" s="145" t="s">
        <v>81</v>
      </c>
      <c r="L415" s="139"/>
      <c r="M415" s="139"/>
      <c r="N415" s="444"/>
      <c r="O415" s="444"/>
      <c r="P415" s="444"/>
      <c r="Q415" s="444"/>
      <c r="R415" s="444"/>
      <c r="S415" s="140"/>
      <c r="T415" s="145"/>
      <c r="U415" s="139"/>
      <c r="V415" s="139" t="s">
        <v>459</v>
      </c>
      <c r="W415" s="139" t="s">
        <v>1847</v>
      </c>
      <c r="X415" s="139" t="s">
        <v>1848</v>
      </c>
      <c r="Y415" s="140">
        <v>81</v>
      </c>
      <c r="Z415" s="144">
        <v>0</v>
      </c>
      <c r="AA415" s="140">
        <v>97</v>
      </c>
      <c r="AB415" s="144">
        <v>17.53</v>
      </c>
    </row>
    <row r="416" spans="1:28" s="445" customFormat="1" x14ac:dyDescent="0.25">
      <c r="A416" s="460"/>
      <c r="B416" s="139" t="s">
        <v>153</v>
      </c>
      <c r="C416" s="140">
        <v>12</v>
      </c>
      <c r="D416" s="141">
        <v>9313049</v>
      </c>
      <c r="E416" s="140" t="s">
        <v>35</v>
      </c>
      <c r="F416" s="140" t="s">
        <v>23</v>
      </c>
      <c r="G416" s="145" t="s">
        <v>25</v>
      </c>
      <c r="H416" s="139" t="s">
        <v>26</v>
      </c>
      <c r="I416" s="142" t="s">
        <v>1849</v>
      </c>
      <c r="J416" s="143" t="s">
        <v>1850</v>
      </c>
      <c r="K416" s="145" t="s">
        <v>29</v>
      </c>
      <c r="L416" s="139" t="s">
        <v>30</v>
      </c>
      <c r="M416" s="139" t="s">
        <v>56</v>
      </c>
      <c r="N416" s="444"/>
      <c r="O416" s="444"/>
      <c r="P416" s="444"/>
      <c r="Q416" s="444"/>
      <c r="R416" s="444"/>
      <c r="S416" s="140"/>
      <c r="T416" s="145"/>
      <c r="U416" s="139"/>
      <c r="V416" s="139" t="s">
        <v>459</v>
      </c>
      <c r="W416" s="139" t="s">
        <v>1851</v>
      </c>
      <c r="X416" s="139" t="s">
        <v>1852</v>
      </c>
      <c r="Y416" s="140">
        <v>104</v>
      </c>
      <c r="Z416" s="144">
        <v>0</v>
      </c>
      <c r="AA416" s="140">
        <v>108</v>
      </c>
      <c r="AB416" s="144">
        <v>18.52</v>
      </c>
    </row>
    <row r="417" spans="1:28" s="445" customFormat="1" x14ac:dyDescent="0.25">
      <c r="A417" s="460"/>
      <c r="B417" s="139" t="s">
        <v>153</v>
      </c>
      <c r="C417" s="140">
        <v>12</v>
      </c>
      <c r="D417" s="141">
        <v>53683285</v>
      </c>
      <c r="E417" s="140" t="s">
        <v>23</v>
      </c>
      <c r="F417" s="140" t="s">
        <v>24</v>
      </c>
      <c r="G417" s="145" t="s">
        <v>25</v>
      </c>
      <c r="H417" s="139" t="s">
        <v>26</v>
      </c>
      <c r="I417" s="142" t="s">
        <v>1853</v>
      </c>
      <c r="J417" s="143" t="s">
        <v>1854</v>
      </c>
      <c r="K417" s="145" t="s">
        <v>109</v>
      </c>
      <c r="L417" s="139"/>
      <c r="M417" s="139"/>
      <c r="N417" s="444"/>
      <c r="O417" s="444"/>
      <c r="P417" s="444"/>
      <c r="Q417" s="444"/>
      <c r="R417" s="444"/>
      <c r="S417" s="140"/>
      <c r="T417" s="145"/>
      <c r="U417" s="139"/>
      <c r="V417" s="139" t="s">
        <v>93</v>
      </c>
      <c r="W417" s="139" t="s">
        <v>1855</v>
      </c>
      <c r="X417" s="139" t="s">
        <v>1856</v>
      </c>
      <c r="Y417" s="140">
        <v>99</v>
      </c>
      <c r="Z417" s="144">
        <v>0</v>
      </c>
      <c r="AA417" s="140">
        <v>82</v>
      </c>
      <c r="AB417" s="144">
        <v>29.27</v>
      </c>
    </row>
    <row r="418" spans="1:28" s="445" customFormat="1" x14ac:dyDescent="0.25">
      <c r="A418" s="460"/>
      <c r="B418" s="139" t="s">
        <v>153</v>
      </c>
      <c r="C418" s="140">
        <v>12</v>
      </c>
      <c r="D418" s="141">
        <v>88483158</v>
      </c>
      <c r="E418" s="140" t="s">
        <v>24</v>
      </c>
      <c r="F418" s="140" t="s">
        <v>35</v>
      </c>
      <c r="G418" s="145" t="s">
        <v>25</v>
      </c>
      <c r="H418" s="139" t="s">
        <v>26</v>
      </c>
      <c r="I418" s="142" t="s">
        <v>1857</v>
      </c>
      <c r="J418" s="143" t="s">
        <v>1858</v>
      </c>
      <c r="K418" s="145" t="s">
        <v>29</v>
      </c>
      <c r="L418" s="139" t="s">
        <v>30</v>
      </c>
      <c r="M418" s="139" t="s">
        <v>31</v>
      </c>
      <c r="N418" s="444"/>
      <c r="O418" s="444"/>
      <c r="P418" s="444"/>
      <c r="Q418" s="444"/>
      <c r="R418" s="444"/>
      <c r="S418" s="140"/>
      <c r="T418" s="145"/>
      <c r="U418" s="139"/>
      <c r="V418" s="139" t="s">
        <v>848</v>
      </c>
      <c r="W418" s="139" t="s">
        <v>1859</v>
      </c>
      <c r="X418" s="139" t="s">
        <v>1860</v>
      </c>
      <c r="Y418" s="140">
        <v>109</v>
      </c>
      <c r="Z418" s="144">
        <v>0</v>
      </c>
      <c r="AA418" s="140">
        <v>96</v>
      </c>
      <c r="AB418" s="144">
        <v>16.670000000000002</v>
      </c>
    </row>
    <row r="419" spans="1:28" s="445" customFormat="1" x14ac:dyDescent="0.25">
      <c r="A419" s="460"/>
      <c r="B419" s="139" t="s">
        <v>153</v>
      </c>
      <c r="C419" s="140">
        <v>12</v>
      </c>
      <c r="D419" s="141">
        <v>120805843</v>
      </c>
      <c r="E419" s="140" t="s">
        <v>23</v>
      </c>
      <c r="F419" s="140" t="s">
        <v>35</v>
      </c>
      <c r="G419" s="145" t="s">
        <v>25</v>
      </c>
      <c r="H419" s="139" t="s">
        <v>26</v>
      </c>
      <c r="I419" s="142" t="s">
        <v>1861</v>
      </c>
      <c r="J419" s="143" t="s">
        <v>1862</v>
      </c>
      <c r="K419" s="145" t="s">
        <v>29</v>
      </c>
      <c r="L419" s="139" t="s">
        <v>39</v>
      </c>
      <c r="M419" s="139" t="s">
        <v>51</v>
      </c>
      <c r="N419" s="444"/>
      <c r="O419" s="444"/>
      <c r="P419" s="444"/>
      <c r="Q419" s="444"/>
      <c r="R419" s="444"/>
      <c r="S419" s="140"/>
      <c r="T419" s="145"/>
      <c r="U419" s="139"/>
      <c r="V419" s="139" t="s">
        <v>1568</v>
      </c>
      <c r="W419" s="139" t="s">
        <v>1863</v>
      </c>
      <c r="X419" s="139" t="s">
        <v>1864</v>
      </c>
      <c r="Y419" s="140">
        <v>85</v>
      </c>
      <c r="Z419" s="144">
        <v>0</v>
      </c>
      <c r="AA419" s="140">
        <v>78</v>
      </c>
      <c r="AB419" s="144">
        <v>26.92</v>
      </c>
    </row>
    <row r="420" spans="1:28" s="445" customFormat="1" x14ac:dyDescent="0.25">
      <c r="A420" s="460"/>
      <c r="B420" s="139" t="s">
        <v>153</v>
      </c>
      <c r="C420" s="140">
        <v>14</v>
      </c>
      <c r="D420" s="141">
        <v>20586158</v>
      </c>
      <c r="E420" s="140" t="s">
        <v>23</v>
      </c>
      <c r="F420" s="140" t="s">
        <v>35</v>
      </c>
      <c r="G420" s="145" t="s">
        <v>25</v>
      </c>
      <c r="H420" s="139" t="s">
        <v>26</v>
      </c>
      <c r="I420" s="142" t="s">
        <v>1865</v>
      </c>
      <c r="J420" s="143" t="s">
        <v>1866</v>
      </c>
      <c r="K420" s="145" t="s">
        <v>29</v>
      </c>
      <c r="L420" s="139" t="s">
        <v>30</v>
      </c>
      <c r="M420" s="139"/>
      <c r="N420" s="444"/>
      <c r="O420" s="444"/>
      <c r="P420" s="444"/>
      <c r="Q420" s="444"/>
      <c r="R420" s="444"/>
      <c r="S420" s="140"/>
      <c r="T420" s="145"/>
      <c r="U420" s="139"/>
      <c r="V420" s="139" t="s">
        <v>180</v>
      </c>
      <c r="W420" s="139" t="s">
        <v>1867</v>
      </c>
      <c r="X420" s="139" t="s">
        <v>1868</v>
      </c>
      <c r="Y420" s="140">
        <v>95</v>
      </c>
      <c r="Z420" s="144">
        <v>0</v>
      </c>
      <c r="AA420" s="140">
        <v>89</v>
      </c>
      <c r="AB420" s="144">
        <v>13.48</v>
      </c>
    </row>
    <row r="421" spans="1:28" s="445" customFormat="1" x14ac:dyDescent="0.25">
      <c r="A421" s="460"/>
      <c r="B421" s="139" t="s">
        <v>153</v>
      </c>
      <c r="C421" s="140">
        <v>15</v>
      </c>
      <c r="D421" s="141">
        <v>76205607</v>
      </c>
      <c r="E421" s="140" t="s">
        <v>43</v>
      </c>
      <c r="F421" s="140" t="s">
        <v>24</v>
      </c>
      <c r="G421" s="145" t="s">
        <v>25</v>
      </c>
      <c r="H421" s="139" t="s">
        <v>73</v>
      </c>
      <c r="I421" s="142" t="s">
        <v>1869</v>
      </c>
      <c r="J421" s="143" t="s">
        <v>1870</v>
      </c>
      <c r="K421" s="145" t="s">
        <v>109</v>
      </c>
      <c r="L421" s="139"/>
      <c r="M421" s="139"/>
      <c r="N421" s="444"/>
      <c r="O421" s="444"/>
      <c r="P421" s="444"/>
      <c r="Q421" s="444"/>
      <c r="R421" s="444"/>
      <c r="S421" s="140"/>
      <c r="T421" s="145"/>
      <c r="U421" s="139"/>
      <c r="V421" s="139" t="s">
        <v>115</v>
      </c>
      <c r="W421" s="139" t="s">
        <v>1871</v>
      </c>
      <c r="X421" s="139" t="s">
        <v>1872</v>
      </c>
      <c r="Y421" s="140">
        <v>101</v>
      </c>
      <c r="Z421" s="144">
        <v>0</v>
      </c>
      <c r="AA421" s="140">
        <v>56</v>
      </c>
      <c r="AB421" s="144">
        <v>16.07</v>
      </c>
    </row>
    <row r="422" spans="1:28" s="445" customFormat="1" x14ac:dyDescent="0.25">
      <c r="A422" s="460"/>
      <c r="B422" s="139" t="s">
        <v>153</v>
      </c>
      <c r="C422" s="140">
        <v>16</v>
      </c>
      <c r="D422" s="141">
        <v>1719026</v>
      </c>
      <c r="E422" s="140" t="s">
        <v>23</v>
      </c>
      <c r="F422" s="140" t="s">
        <v>35</v>
      </c>
      <c r="G422" s="145" t="s">
        <v>25</v>
      </c>
      <c r="H422" s="139" t="s">
        <v>26</v>
      </c>
      <c r="I422" s="142" t="s">
        <v>1873</v>
      </c>
      <c r="J422" s="143" t="s">
        <v>1874</v>
      </c>
      <c r="K422" s="145" t="s">
        <v>29</v>
      </c>
      <c r="L422" s="139" t="s">
        <v>30</v>
      </c>
      <c r="M422" s="139" t="s">
        <v>56</v>
      </c>
      <c r="N422" s="444"/>
      <c r="O422" s="444"/>
      <c r="P422" s="444"/>
      <c r="Q422" s="444"/>
      <c r="R422" s="444"/>
      <c r="S422" s="140"/>
      <c r="T422" s="145"/>
      <c r="U422" s="139"/>
      <c r="V422" s="139" t="s">
        <v>120</v>
      </c>
      <c r="W422" s="139" t="s">
        <v>1875</v>
      </c>
      <c r="X422" s="139" t="s">
        <v>1876</v>
      </c>
      <c r="Y422" s="140">
        <v>73</v>
      </c>
      <c r="Z422" s="144">
        <v>0</v>
      </c>
      <c r="AA422" s="140">
        <v>74</v>
      </c>
      <c r="AB422" s="144">
        <v>16.22</v>
      </c>
    </row>
    <row r="423" spans="1:28" s="445" customFormat="1" x14ac:dyDescent="0.25">
      <c r="A423" s="460"/>
      <c r="B423" s="139" t="s">
        <v>153</v>
      </c>
      <c r="C423" s="140">
        <v>16</v>
      </c>
      <c r="D423" s="141">
        <v>11792166</v>
      </c>
      <c r="E423" s="140" t="s">
        <v>23</v>
      </c>
      <c r="F423" s="140" t="s">
        <v>35</v>
      </c>
      <c r="G423" s="145" t="s">
        <v>25</v>
      </c>
      <c r="H423" s="139" t="s">
        <v>273</v>
      </c>
      <c r="I423" s="142" t="s">
        <v>1877</v>
      </c>
      <c r="J423" s="143" t="s">
        <v>1878</v>
      </c>
      <c r="K423" s="145" t="s">
        <v>29</v>
      </c>
      <c r="L423" s="139" t="s">
        <v>30</v>
      </c>
      <c r="M423" s="139" t="s">
        <v>31</v>
      </c>
      <c r="N423" s="444"/>
      <c r="O423" s="444"/>
      <c r="P423" s="444"/>
      <c r="Q423" s="444"/>
      <c r="R423" s="444"/>
      <c r="S423" s="140"/>
      <c r="T423" s="145"/>
      <c r="U423" s="139"/>
      <c r="V423" s="139" t="s">
        <v>1879</v>
      </c>
      <c r="W423" s="139" t="s">
        <v>1880</v>
      </c>
      <c r="X423" s="139" t="s">
        <v>1881</v>
      </c>
      <c r="Y423" s="140">
        <v>82</v>
      </c>
      <c r="Z423" s="144">
        <v>0</v>
      </c>
      <c r="AA423" s="140">
        <v>91</v>
      </c>
      <c r="AB423" s="144">
        <v>30.77</v>
      </c>
    </row>
    <row r="424" spans="1:28" s="445" customFormat="1" x14ac:dyDescent="0.25">
      <c r="A424" s="460"/>
      <c r="B424" s="139" t="s">
        <v>153</v>
      </c>
      <c r="C424" s="140">
        <v>16</v>
      </c>
      <c r="D424" s="141">
        <v>20566634</v>
      </c>
      <c r="E424" s="140" t="s">
        <v>23</v>
      </c>
      <c r="F424" s="140" t="s">
        <v>35</v>
      </c>
      <c r="G424" s="145" t="s">
        <v>25</v>
      </c>
      <c r="H424" s="139" t="s">
        <v>26</v>
      </c>
      <c r="I424" s="142" t="s">
        <v>1882</v>
      </c>
      <c r="J424" s="143" t="s">
        <v>1883</v>
      </c>
      <c r="K424" s="145" t="s">
        <v>109</v>
      </c>
      <c r="L424" s="139"/>
      <c r="M424" s="139"/>
      <c r="N424" s="444"/>
      <c r="O424" s="444"/>
      <c r="P424" s="444"/>
      <c r="Q424" s="444"/>
      <c r="R424" s="444"/>
      <c r="S424" s="140"/>
      <c r="T424" s="145"/>
      <c r="U424" s="139"/>
      <c r="V424" s="139" t="s">
        <v>623</v>
      </c>
      <c r="W424" s="139" t="s">
        <v>1884</v>
      </c>
      <c r="X424" s="139" t="s">
        <v>1885</v>
      </c>
      <c r="Y424" s="140">
        <v>63</v>
      </c>
      <c r="Z424" s="144">
        <v>0</v>
      </c>
      <c r="AA424" s="140">
        <v>72</v>
      </c>
      <c r="AB424" s="144">
        <v>15.28</v>
      </c>
    </row>
    <row r="425" spans="1:28" s="445" customFormat="1" x14ac:dyDescent="0.25">
      <c r="A425" s="460"/>
      <c r="B425" s="139" t="s">
        <v>153</v>
      </c>
      <c r="C425" s="140">
        <v>17</v>
      </c>
      <c r="D425" s="141">
        <v>18874371</v>
      </c>
      <c r="E425" s="140" t="s">
        <v>23</v>
      </c>
      <c r="F425" s="140" t="s">
        <v>35</v>
      </c>
      <c r="G425" s="145" t="s">
        <v>25</v>
      </c>
      <c r="H425" s="139" t="s">
        <v>26</v>
      </c>
      <c r="I425" s="142" t="s">
        <v>1886</v>
      </c>
      <c r="J425" s="143" t="s">
        <v>1887</v>
      </c>
      <c r="K425" s="145" t="s">
        <v>29</v>
      </c>
      <c r="L425" s="139" t="s">
        <v>39</v>
      </c>
      <c r="M425" s="139" t="s">
        <v>51</v>
      </c>
      <c r="N425" s="444"/>
      <c r="O425" s="444"/>
      <c r="P425" s="444"/>
      <c r="Q425" s="444"/>
      <c r="R425" s="444"/>
      <c r="S425" s="140"/>
      <c r="T425" s="145"/>
      <c r="U425" s="139"/>
      <c r="V425" s="139" t="s">
        <v>1838</v>
      </c>
      <c r="W425" s="139" t="s">
        <v>1888</v>
      </c>
      <c r="X425" s="139" t="s">
        <v>1889</v>
      </c>
      <c r="Y425" s="140">
        <v>99</v>
      </c>
      <c r="Z425" s="144">
        <v>0</v>
      </c>
      <c r="AA425" s="140">
        <v>86</v>
      </c>
      <c r="AB425" s="144">
        <v>18.600000000000001</v>
      </c>
    </row>
    <row r="426" spans="1:28" s="445" customFormat="1" x14ac:dyDescent="0.25">
      <c r="A426" s="460"/>
      <c r="B426" s="139" t="s">
        <v>153</v>
      </c>
      <c r="C426" s="140">
        <v>17</v>
      </c>
      <c r="D426" s="141">
        <v>43005445</v>
      </c>
      <c r="E426" s="140" t="s">
        <v>23</v>
      </c>
      <c r="F426" s="140" t="s">
        <v>35</v>
      </c>
      <c r="G426" s="145" t="s">
        <v>25</v>
      </c>
      <c r="H426" s="139" t="s">
        <v>26</v>
      </c>
      <c r="I426" s="142" t="s">
        <v>1890</v>
      </c>
      <c r="J426" s="143" t="s">
        <v>1891</v>
      </c>
      <c r="K426" s="145" t="s">
        <v>29</v>
      </c>
      <c r="L426" s="139" t="s">
        <v>39</v>
      </c>
      <c r="M426" s="139"/>
      <c r="N426" s="444"/>
      <c r="O426" s="444"/>
      <c r="P426" s="444"/>
      <c r="Q426" s="444"/>
      <c r="R426" s="444"/>
      <c r="S426" s="140"/>
      <c r="T426" s="145"/>
      <c r="U426" s="139"/>
      <c r="V426" s="139" t="s">
        <v>110</v>
      </c>
      <c r="W426" s="139" t="s">
        <v>1892</v>
      </c>
      <c r="X426" s="139" t="s">
        <v>1893</v>
      </c>
      <c r="Y426" s="140">
        <v>127</v>
      </c>
      <c r="Z426" s="144">
        <v>0</v>
      </c>
      <c r="AA426" s="140">
        <v>93</v>
      </c>
      <c r="AB426" s="144">
        <v>12.9</v>
      </c>
    </row>
    <row r="427" spans="1:28" s="445" customFormat="1" x14ac:dyDescent="0.25">
      <c r="A427" s="460"/>
      <c r="B427" s="139" t="s">
        <v>153</v>
      </c>
      <c r="C427" s="140">
        <v>17</v>
      </c>
      <c r="D427" s="141">
        <v>58123486</v>
      </c>
      <c r="E427" s="140" t="s">
        <v>23</v>
      </c>
      <c r="F427" s="140" t="s">
        <v>43</v>
      </c>
      <c r="G427" s="145" t="s">
        <v>25</v>
      </c>
      <c r="H427" s="139" t="s">
        <v>26</v>
      </c>
      <c r="I427" s="142" t="s">
        <v>1894</v>
      </c>
      <c r="J427" s="143" t="s">
        <v>1895</v>
      </c>
      <c r="K427" s="145" t="s">
        <v>29</v>
      </c>
      <c r="L427" s="139" t="s">
        <v>30</v>
      </c>
      <c r="M427" s="139" t="s">
        <v>56</v>
      </c>
      <c r="N427" s="444"/>
      <c r="O427" s="444"/>
      <c r="P427" s="444"/>
      <c r="Q427" s="444"/>
      <c r="R427" s="444"/>
      <c r="S427" s="140"/>
      <c r="T427" s="145"/>
      <c r="U427" s="139"/>
      <c r="V427" s="139" t="s">
        <v>165</v>
      </c>
      <c r="W427" s="139" t="s">
        <v>1896</v>
      </c>
      <c r="X427" s="139" t="s">
        <v>1897</v>
      </c>
      <c r="Y427" s="140">
        <v>117</v>
      </c>
      <c r="Z427" s="144">
        <v>0</v>
      </c>
      <c r="AA427" s="140">
        <v>124</v>
      </c>
      <c r="AB427" s="144">
        <v>13.71</v>
      </c>
    </row>
    <row r="428" spans="1:28" s="445" customFormat="1" x14ac:dyDescent="0.25">
      <c r="A428" s="460"/>
      <c r="B428" s="139" t="s">
        <v>153</v>
      </c>
      <c r="C428" s="140">
        <v>18</v>
      </c>
      <c r="D428" s="141">
        <v>29044341</v>
      </c>
      <c r="E428" s="140" t="s">
        <v>43</v>
      </c>
      <c r="F428" s="140" t="s">
        <v>24</v>
      </c>
      <c r="G428" s="145" t="s">
        <v>25</v>
      </c>
      <c r="H428" s="139" t="s">
        <v>26</v>
      </c>
      <c r="I428" s="142" t="s">
        <v>1898</v>
      </c>
      <c r="J428" s="143" t="s">
        <v>1899</v>
      </c>
      <c r="K428" s="145" t="s">
        <v>29</v>
      </c>
      <c r="L428" s="139" t="s">
        <v>30</v>
      </c>
      <c r="M428" s="139" t="s">
        <v>51</v>
      </c>
      <c r="N428" s="444"/>
      <c r="O428" s="444"/>
      <c r="P428" s="444"/>
      <c r="Q428" s="444"/>
      <c r="R428" s="444"/>
      <c r="S428" s="140"/>
      <c r="T428" s="145"/>
      <c r="U428" s="139"/>
      <c r="V428" s="139" t="s">
        <v>299</v>
      </c>
      <c r="W428" s="139" t="s">
        <v>1900</v>
      </c>
      <c r="X428" s="139" t="s">
        <v>1901</v>
      </c>
      <c r="Y428" s="140">
        <v>97</v>
      </c>
      <c r="Z428" s="144">
        <v>0</v>
      </c>
      <c r="AA428" s="140">
        <v>90</v>
      </c>
      <c r="AB428" s="144">
        <v>10</v>
      </c>
    </row>
    <row r="429" spans="1:28" s="445" customFormat="1" x14ac:dyDescent="0.25">
      <c r="A429" s="460"/>
      <c r="B429" s="139" t="s">
        <v>153</v>
      </c>
      <c r="C429" s="140">
        <v>19</v>
      </c>
      <c r="D429" s="141">
        <v>8212199</v>
      </c>
      <c r="E429" s="140" t="s">
        <v>23</v>
      </c>
      <c r="F429" s="140" t="s">
        <v>24</v>
      </c>
      <c r="G429" s="145" t="s">
        <v>25</v>
      </c>
      <c r="H429" s="139" t="s">
        <v>26</v>
      </c>
      <c r="I429" s="142" t="s">
        <v>1902</v>
      </c>
      <c r="J429" s="143" t="s">
        <v>1903</v>
      </c>
      <c r="K429" s="145" t="s">
        <v>29</v>
      </c>
      <c r="L429" s="139" t="s">
        <v>30</v>
      </c>
      <c r="M429" s="139" t="s">
        <v>31</v>
      </c>
      <c r="N429" s="444"/>
      <c r="O429" s="444"/>
      <c r="P429" s="444"/>
      <c r="Q429" s="444"/>
      <c r="R429" s="444"/>
      <c r="S429" s="140"/>
      <c r="T429" s="145">
        <v>3541565</v>
      </c>
      <c r="U429" s="139"/>
      <c r="V429" s="139" t="s">
        <v>32</v>
      </c>
      <c r="W429" s="139" t="s">
        <v>1904</v>
      </c>
      <c r="X429" s="139" t="s">
        <v>1905</v>
      </c>
      <c r="Y429" s="140">
        <v>95</v>
      </c>
      <c r="Z429" s="144">
        <v>0</v>
      </c>
      <c r="AA429" s="140">
        <v>63</v>
      </c>
      <c r="AB429" s="144">
        <v>11.11</v>
      </c>
    </row>
    <row r="430" spans="1:28" s="445" customFormat="1" x14ac:dyDescent="0.25">
      <c r="A430" s="460"/>
      <c r="B430" s="139" t="s">
        <v>153</v>
      </c>
      <c r="C430" s="140">
        <v>19</v>
      </c>
      <c r="D430" s="141">
        <v>43965762</v>
      </c>
      <c r="E430" s="140" t="s">
        <v>43</v>
      </c>
      <c r="F430" s="140" t="s">
        <v>35</v>
      </c>
      <c r="G430" s="145" t="s">
        <v>25</v>
      </c>
      <c r="H430" s="139" t="s">
        <v>26</v>
      </c>
      <c r="I430" s="142" t="s">
        <v>1906</v>
      </c>
      <c r="J430" s="143" t="s">
        <v>1907</v>
      </c>
      <c r="K430" s="145" t="s">
        <v>29</v>
      </c>
      <c r="L430" s="139"/>
      <c r="M430" s="139" t="s">
        <v>51</v>
      </c>
      <c r="N430" s="444">
        <v>781448625</v>
      </c>
      <c r="O430" s="444"/>
      <c r="P430" s="444"/>
      <c r="Q430" s="444" t="s">
        <v>4180</v>
      </c>
      <c r="R430" s="444" t="s">
        <v>4180</v>
      </c>
      <c r="S430" s="140"/>
      <c r="T430" s="145"/>
      <c r="U430" s="139"/>
      <c r="V430" s="139" t="s">
        <v>496</v>
      </c>
      <c r="W430" s="139" t="s">
        <v>1908</v>
      </c>
      <c r="X430" s="139" t="s">
        <v>1909</v>
      </c>
      <c r="Y430" s="140">
        <v>68</v>
      </c>
      <c r="Z430" s="144">
        <v>0</v>
      </c>
      <c r="AA430" s="140">
        <v>59</v>
      </c>
      <c r="AB430" s="144">
        <v>13.56</v>
      </c>
    </row>
    <row r="431" spans="1:28" s="445" customFormat="1" x14ac:dyDescent="0.25">
      <c r="A431" s="460"/>
      <c r="B431" s="139" t="s">
        <v>153</v>
      </c>
      <c r="C431" s="140">
        <v>20</v>
      </c>
      <c r="D431" s="141">
        <v>5098142</v>
      </c>
      <c r="E431" s="140" t="s">
        <v>24</v>
      </c>
      <c r="F431" s="140" t="s">
        <v>23</v>
      </c>
      <c r="G431" s="145" t="s">
        <v>25</v>
      </c>
      <c r="H431" s="139" t="s">
        <v>26</v>
      </c>
      <c r="I431" s="142" t="s">
        <v>1910</v>
      </c>
      <c r="J431" s="143" t="s">
        <v>1911</v>
      </c>
      <c r="K431" s="145" t="s">
        <v>29</v>
      </c>
      <c r="L431" s="139" t="s">
        <v>39</v>
      </c>
      <c r="M431" s="139" t="s">
        <v>51</v>
      </c>
      <c r="N431" s="444"/>
      <c r="O431" s="444"/>
      <c r="P431" s="444"/>
      <c r="Q431" s="444"/>
      <c r="R431" s="444"/>
      <c r="S431" s="140"/>
      <c r="T431" s="145"/>
      <c r="U431" s="139"/>
      <c r="V431" s="139" t="s">
        <v>270</v>
      </c>
      <c r="W431" s="139" t="s">
        <v>1912</v>
      </c>
      <c r="X431" s="139" t="s">
        <v>1913</v>
      </c>
      <c r="Y431" s="140">
        <v>82</v>
      </c>
      <c r="Z431" s="144">
        <v>0</v>
      </c>
      <c r="AA431" s="140">
        <v>104</v>
      </c>
      <c r="AB431" s="144">
        <v>11.54</v>
      </c>
    </row>
    <row r="432" spans="1:28" s="445" customFormat="1" x14ac:dyDescent="0.25">
      <c r="A432" s="460"/>
      <c r="B432" s="139" t="s">
        <v>153</v>
      </c>
      <c r="C432" s="140">
        <v>20</v>
      </c>
      <c r="D432" s="141">
        <v>16718000</v>
      </c>
      <c r="E432" s="140" t="s">
        <v>35</v>
      </c>
      <c r="F432" s="140" t="s">
        <v>23</v>
      </c>
      <c r="G432" s="145" t="s">
        <v>25</v>
      </c>
      <c r="H432" s="139" t="s">
        <v>26</v>
      </c>
      <c r="I432" s="142" t="s">
        <v>1914</v>
      </c>
      <c r="J432" s="143" t="s">
        <v>1915</v>
      </c>
      <c r="K432" s="145" t="s">
        <v>29</v>
      </c>
      <c r="L432" s="139" t="s">
        <v>39</v>
      </c>
      <c r="M432" s="139" t="s">
        <v>51</v>
      </c>
      <c r="N432" s="444"/>
      <c r="O432" s="444"/>
      <c r="P432" s="444"/>
      <c r="Q432" s="444"/>
      <c r="R432" s="444"/>
      <c r="S432" s="140"/>
      <c r="T432" s="145"/>
      <c r="U432" s="139"/>
      <c r="V432" s="139" t="s">
        <v>136</v>
      </c>
      <c r="W432" s="139" t="s">
        <v>1916</v>
      </c>
      <c r="X432" s="139" t="s">
        <v>1917</v>
      </c>
      <c r="Y432" s="140">
        <v>92</v>
      </c>
      <c r="Z432" s="144">
        <v>0</v>
      </c>
      <c r="AA432" s="140">
        <v>92</v>
      </c>
      <c r="AB432" s="144">
        <v>10.87</v>
      </c>
    </row>
    <row r="433" spans="1:28" s="445" customFormat="1" x14ac:dyDescent="0.25">
      <c r="A433" s="460"/>
      <c r="B433" s="139" t="s">
        <v>153</v>
      </c>
      <c r="C433" s="140" t="s">
        <v>379</v>
      </c>
      <c r="D433" s="141">
        <v>9935820</v>
      </c>
      <c r="E433" s="140" t="s">
        <v>23</v>
      </c>
      <c r="F433" s="140" t="s">
        <v>35</v>
      </c>
      <c r="G433" s="145" t="s">
        <v>25</v>
      </c>
      <c r="H433" s="139" t="s">
        <v>26</v>
      </c>
      <c r="I433" s="142" t="s">
        <v>1918</v>
      </c>
      <c r="J433" s="143" t="s">
        <v>1919</v>
      </c>
      <c r="K433" s="145" t="s">
        <v>29</v>
      </c>
      <c r="L433" s="139" t="s">
        <v>30</v>
      </c>
      <c r="M433" s="139"/>
      <c r="N433" s="444"/>
      <c r="O433" s="444"/>
      <c r="P433" s="444"/>
      <c r="Q433" s="444"/>
      <c r="R433" s="444"/>
      <c r="S433" s="140"/>
      <c r="T433" s="145"/>
      <c r="U433" s="139"/>
      <c r="V433" s="139" t="s">
        <v>582</v>
      </c>
      <c r="W433" s="139" t="s">
        <v>1920</v>
      </c>
      <c r="X433" s="139" t="s">
        <v>1921</v>
      </c>
      <c r="Y433" s="140">
        <v>69</v>
      </c>
      <c r="Z433" s="144">
        <v>0</v>
      </c>
      <c r="AA433" s="140">
        <v>55</v>
      </c>
      <c r="AB433" s="144">
        <v>10.91</v>
      </c>
    </row>
    <row r="434" spans="1:28" s="445" customFormat="1" x14ac:dyDescent="0.25">
      <c r="A434" s="460"/>
      <c r="B434" s="139" t="s">
        <v>153</v>
      </c>
      <c r="C434" s="140" t="s">
        <v>379</v>
      </c>
      <c r="D434" s="141">
        <v>17152013</v>
      </c>
      <c r="E434" s="140" t="s">
        <v>35</v>
      </c>
      <c r="F434" s="140" t="s">
        <v>24</v>
      </c>
      <c r="G434" s="145" t="s">
        <v>25</v>
      </c>
      <c r="H434" s="139" t="s">
        <v>26</v>
      </c>
      <c r="I434" s="142" t="s">
        <v>1922</v>
      </c>
      <c r="J434" s="143" t="s">
        <v>1923</v>
      </c>
      <c r="K434" s="145" t="s">
        <v>29</v>
      </c>
      <c r="L434" s="139" t="s">
        <v>30</v>
      </c>
      <c r="M434" s="139" t="s">
        <v>31</v>
      </c>
      <c r="N434" s="444"/>
      <c r="O434" s="444"/>
      <c r="P434" s="444"/>
      <c r="Q434" s="444"/>
      <c r="R434" s="444"/>
      <c r="S434" s="140"/>
      <c r="T434" s="145"/>
      <c r="U434" s="139"/>
      <c r="V434" s="139" t="s">
        <v>1924</v>
      </c>
      <c r="W434" s="139" t="s">
        <v>1925</v>
      </c>
      <c r="X434" s="139" t="s">
        <v>1926</v>
      </c>
      <c r="Y434" s="140">
        <v>52</v>
      </c>
      <c r="Z434" s="144">
        <v>0</v>
      </c>
      <c r="AA434" s="140">
        <v>84</v>
      </c>
      <c r="AB434" s="144">
        <v>14.29</v>
      </c>
    </row>
    <row r="435" spans="1:28" s="445" customFormat="1" x14ac:dyDescent="0.25">
      <c r="A435" s="460"/>
      <c r="B435" s="139" t="s">
        <v>153</v>
      </c>
      <c r="C435" s="140" t="s">
        <v>379</v>
      </c>
      <c r="D435" s="141">
        <v>50213588</v>
      </c>
      <c r="E435" s="140" t="s">
        <v>23</v>
      </c>
      <c r="F435" s="140" t="s">
        <v>24</v>
      </c>
      <c r="G435" s="145" t="s">
        <v>25</v>
      </c>
      <c r="H435" s="139" t="s">
        <v>26</v>
      </c>
      <c r="I435" s="142" t="s">
        <v>1927</v>
      </c>
      <c r="J435" s="143" t="s">
        <v>1928</v>
      </c>
      <c r="K435" s="145" t="s">
        <v>109</v>
      </c>
      <c r="L435" s="139"/>
      <c r="M435" s="139"/>
      <c r="N435" s="444"/>
      <c r="O435" s="444"/>
      <c r="P435" s="444"/>
      <c r="Q435" s="444"/>
      <c r="R435" s="444"/>
      <c r="S435" s="140"/>
      <c r="T435" s="145"/>
      <c r="U435" s="139"/>
      <c r="V435" s="139" t="s">
        <v>750</v>
      </c>
      <c r="W435" s="139" t="s">
        <v>1929</v>
      </c>
      <c r="X435" s="139" t="s">
        <v>1930</v>
      </c>
      <c r="Y435" s="140">
        <v>75</v>
      </c>
      <c r="Z435" s="144">
        <v>0</v>
      </c>
      <c r="AA435" s="140">
        <v>87</v>
      </c>
      <c r="AB435" s="144">
        <v>10.34</v>
      </c>
    </row>
    <row r="436" spans="1:28" s="445" customFormat="1" x14ac:dyDescent="0.25">
      <c r="A436" s="460"/>
      <c r="B436" s="139" t="s">
        <v>153</v>
      </c>
      <c r="C436" s="140" t="s">
        <v>379</v>
      </c>
      <c r="D436" s="141">
        <v>51149941</v>
      </c>
      <c r="E436" s="140" t="s">
        <v>43</v>
      </c>
      <c r="F436" s="140" t="s">
        <v>35</v>
      </c>
      <c r="G436" s="145" t="s">
        <v>25</v>
      </c>
      <c r="H436" s="139" t="s">
        <v>26</v>
      </c>
      <c r="I436" s="142" t="s">
        <v>1931</v>
      </c>
      <c r="J436" s="143" t="s">
        <v>1932</v>
      </c>
      <c r="K436" s="145" t="s">
        <v>29</v>
      </c>
      <c r="L436" s="139" t="s">
        <v>39</v>
      </c>
      <c r="M436" s="139" t="s">
        <v>51</v>
      </c>
      <c r="N436" s="444"/>
      <c r="O436" s="444"/>
      <c r="P436" s="444"/>
      <c r="Q436" s="444"/>
      <c r="R436" s="444"/>
      <c r="S436" s="140"/>
      <c r="T436" s="145">
        <v>1122794</v>
      </c>
      <c r="U436" s="139"/>
      <c r="V436" s="139" t="s">
        <v>750</v>
      </c>
      <c r="W436" s="139" t="s">
        <v>1933</v>
      </c>
      <c r="X436" s="139" t="s">
        <v>1934</v>
      </c>
      <c r="Y436" s="140">
        <v>37</v>
      </c>
      <c r="Z436" s="144">
        <v>0</v>
      </c>
      <c r="AA436" s="140">
        <v>60</v>
      </c>
      <c r="AB436" s="144">
        <v>15</v>
      </c>
    </row>
    <row r="437" spans="1:28" s="445" customFormat="1" x14ac:dyDescent="0.25">
      <c r="A437" s="460"/>
      <c r="B437" s="139" t="s">
        <v>153</v>
      </c>
      <c r="C437" s="140" t="s">
        <v>379</v>
      </c>
      <c r="D437" s="141">
        <v>55170291</v>
      </c>
      <c r="E437" s="140" t="s">
        <v>24</v>
      </c>
      <c r="F437" s="140" t="s">
        <v>35</v>
      </c>
      <c r="G437" s="145" t="s">
        <v>25</v>
      </c>
      <c r="H437" s="139" t="s">
        <v>73</v>
      </c>
      <c r="I437" s="142" t="s">
        <v>1935</v>
      </c>
      <c r="J437" s="143" t="s">
        <v>1936</v>
      </c>
      <c r="K437" s="145" t="s">
        <v>29</v>
      </c>
      <c r="L437" s="139" t="s">
        <v>39</v>
      </c>
      <c r="M437" s="139" t="s">
        <v>51</v>
      </c>
      <c r="N437" s="444"/>
      <c r="O437" s="444"/>
      <c r="P437" s="444"/>
      <c r="Q437" s="444"/>
      <c r="R437" s="444"/>
      <c r="S437" s="140"/>
      <c r="T437" s="145"/>
      <c r="U437" s="139"/>
      <c r="V437" s="139" t="s">
        <v>428</v>
      </c>
      <c r="W437" s="139" t="s">
        <v>1937</v>
      </c>
      <c r="X437" s="139" t="s">
        <v>1938</v>
      </c>
      <c r="Y437" s="140">
        <v>58</v>
      </c>
      <c r="Z437" s="144">
        <v>0</v>
      </c>
      <c r="AA437" s="140">
        <v>88</v>
      </c>
      <c r="AB437" s="144">
        <v>21.59</v>
      </c>
    </row>
    <row r="438" spans="1:28" s="445" customFormat="1" x14ac:dyDescent="0.25">
      <c r="A438" s="460"/>
      <c r="B438" s="139" t="s">
        <v>153</v>
      </c>
      <c r="C438" s="140" t="s">
        <v>379</v>
      </c>
      <c r="D438" s="141">
        <v>64722199</v>
      </c>
      <c r="E438" s="140" t="s">
        <v>43</v>
      </c>
      <c r="F438" s="140" t="s">
        <v>35</v>
      </c>
      <c r="G438" s="145" t="s">
        <v>25</v>
      </c>
      <c r="H438" s="139" t="s">
        <v>26</v>
      </c>
      <c r="I438" s="142" t="s">
        <v>1939</v>
      </c>
      <c r="J438" s="143" t="s">
        <v>1940</v>
      </c>
      <c r="K438" s="145" t="s">
        <v>29</v>
      </c>
      <c r="L438" s="139" t="s">
        <v>39</v>
      </c>
      <c r="M438" s="139"/>
      <c r="N438" s="444"/>
      <c r="O438" s="444"/>
      <c r="P438" s="444"/>
      <c r="Q438" s="444"/>
      <c r="R438" s="444"/>
      <c r="S438" s="140"/>
      <c r="T438" s="145"/>
      <c r="U438" s="139"/>
      <c r="V438" s="139" t="s">
        <v>468</v>
      </c>
      <c r="W438" s="139" t="s">
        <v>1941</v>
      </c>
      <c r="X438" s="139" t="s">
        <v>1942</v>
      </c>
      <c r="Y438" s="140">
        <v>38</v>
      </c>
      <c r="Z438" s="144">
        <v>0</v>
      </c>
      <c r="AA438" s="140">
        <v>57</v>
      </c>
      <c r="AB438" s="144">
        <v>28.07</v>
      </c>
    </row>
    <row r="439" spans="1:28" s="445" customFormat="1" x14ac:dyDescent="0.25">
      <c r="A439" s="460"/>
      <c r="B439" s="139" t="s">
        <v>153</v>
      </c>
      <c r="C439" s="140" t="s">
        <v>379</v>
      </c>
      <c r="D439" s="141">
        <v>129518563</v>
      </c>
      <c r="E439" s="140" t="s">
        <v>43</v>
      </c>
      <c r="F439" s="140" t="s">
        <v>35</v>
      </c>
      <c r="G439" s="145" t="s">
        <v>25</v>
      </c>
      <c r="H439" s="139" t="s">
        <v>26</v>
      </c>
      <c r="I439" s="142" t="s">
        <v>1943</v>
      </c>
      <c r="J439" s="143" t="s">
        <v>1944</v>
      </c>
      <c r="K439" s="145" t="s">
        <v>109</v>
      </c>
      <c r="L439" s="139"/>
      <c r="M439" s="139"/>
      <c r="N439" s="444">
        <v>771380953</v>
      </c>
      <c r="O439" s="444"/>
      <c r="P439" s="444"/>
      <c r="Q439" s="444" t="s">
        <v>4181</v>
      </c>
      <c r="R439" s="444" t="s">
        <v>4181</v>
      </c>
      <c r="S439" s="140"/>
      <c r="T439" s="145">
        <v>3913354</v>
      </c>
      <c r="U439" s="139"/>
      <c r="V439" s="139" t="s">
        <v>732</v>
      </c>
      <c r="W439" s="139" t="s">
        <v>1945</v>
      </c>
      <c r="X439" s="139" t="s">
        <v>1946</v>
      </c>
      <c r="Y439" s="140">
        <v>44</v>
      </c>
      <c r="Z439" s="144">
        <v>0</v>
      </c>
      <c r="AA439" s="140">
        <v>65</v>
      </c>
      <c r="AB439" s="144">
        <v>16.920000000000002</v>
      </c>
    </row>
    <row r="440" spans="1:28" s="458" customFormat="1" ht="15.75" thickBot="1" x14ac:dyDescent="0.3">
      <c r="A440" s="460"/>
      <c r="B440" s="456" t="s">
        <v>153</v>
      </c>
      <c r="C440" s="224" t="s">
        <v>379</v>
      </c>
      <c r="D440" s="266">
        <v>129804056</v>
      </c>
      <c r="E440" s="224" t="s">
        <v>23</v>
      </c>
      <c r="F440" s="224" t="s">
        <v>35</v>
      </c>
      <c r="G440" s="223" t="s">
        <v>25</v>
      </c>
      <c r="H440" s="456" t="s">
        <v>26</v>
      </c>
      <c r="I440" s="328" t="s">
        <v>1947</v>
      </c>
      <c r="J440" s="457" t="s">
        <v>1948</v>
      </c>
      <c r="K440" s="223" t="s">
        <v>29</v>
      </c>
      <c r="L440" s="456" t="s">
        <v>39</v>
      </c>
      <c r="M440" s="456" t="s">
        <v>31</v>
      </c>
      <c r="S440" s="224"/>
      <c r="T440" s="223"/>
      <c r="U440" s="456"/>
      <c r="V440" s="456" t="s">
        <v>732</v>
      </c>
      <c r="W440" s="456" t="s">
        <v>1949</v>
      </c>
      <c r="X440" s="456" t="s">
        <v>1950</v>
      </c>
      <c r="Y440" s="224">
        <v>49</v>
      </c>
      <c r="Z440" s="459">
        <v>0</v>
      </c>
      <c r="AA440" s="224">
        <v>68</v>
      </c>
      <c r="AB440" s="459">
        <v>13.24</v>
      </c>
    </row>
    <row r="441" spans="1:28" s="280" customFormat="1" ht="15" customHeight="1" x14ac:dyDescent="0.25">
      <c r="A441" s="462" t="s">
        <v>4152</v>
      </c>
      <c r="B441" s="280" t="s">
        <v>22</v>
      </c>
      <c r="C441" s="281">
        <v>2</v>
      </c>
      <c r="D441" s="280">
        <v>108608624</v>
      </c>
      <c r="E441" s="280" t="s">
        <v>43</v>
      </c>
      <c r="F441" s="280" t="s">
        <v>35</v>
      </c>
      <c r="G441" s="293" t="s">
        <v>25</v>
      </c>
      <c r="H441" s="280" t="s">
        <v>128</v>
      </c>
      <c r="I441" s="308" t="s">
        <v>3264</v>
      </c>
      <c r="J441" s="280" t="s">
        <v>3267</v>
      </c>
      <c r="K441" s="280" t="s">
        <v>29</v>
      </c>
      <c r="L441" s="280" t="s">
        <v>30</v>
      </c>
      <c r="M441" s="280" t="s">
        <v>56</v>
      </c>
      <c r="S441" s="281"/>
      <c r="T441" s="293"/>
      <c r="V441" s="280" t="s">
        <v>52</v>
      </c>
      <c r="W441" s="280" t="s">
        <v>3265</v>
      </c>
      <c r="X441" s="280" t="s">
        <v>3266</v>
      </c>
      <c r="Y441" s="281">
        <v>66</v>
      </c>
      <c r="Z441" s="283">
        <v>12.12</v>
      </c>
      <c r="AA441" s="281">
        <v>64</v>
      </c>
      <c r="AB441" s="281">
        <v>0</v>
      </c>
    </row>
    <row r="442" spans="1:28" s="280" customFormat="1" x14ac:dyDescent="0.25">
      <c r="A442" s="462"/>
      <c r="B442" s="280" t="s">
        <v>22</v>
      </c>
      <c r="C442" s="281">
        <v>2</v>
      </c>
      <c r="D442" s="280">
        <v>179444439</v>
      </c>
      <c r="E442" s="280" t="s">
        <v>35</v>
      </c>
      <c r="F442" s="280" t="s">
        <v>23</v>
      </c>
      <c r="G442" s="293" t="s">
        <v>25</v>
      </c>
      <c r="H442" s="280" t="s">
        <v>663</v>
      </c>
      <c r="I442" s="308" t="s">
        <v>3268</v>
      </c>
      <c r="J442" s="280" t="s">
        <v>3271</v>
      </c>
      <c r="K442" s="280" t="s">
        <v>29</v>
      </c>
      <c r="M442" s="280" t="s">
        <v>51</v>
      </c>
      <c r="S442" s="281"/>
      <c r="T442" s="293"/>
      <c r="V442" s="280" t="s">
        <v>1475</v>
      </c>
      <c r="W442" s="280" t="s">
        <v>3269</v>
      </c>
      <c r="X442" s="280" t="s">
        <v>3270</v>
      </c>
      <c r="Y442" s="281">
        <v>61</v>
      </c>
      <c r="Z442" s="283">
        <v>24.59</v>
      </c>
      <c r="AA442" s="281">
        <v>71</v>
      </c>
      <c r="AB442" s="281">
        <v>0</v>
      </c>
    </row>
    <row r="443" spans="1:28" s="280" customFormat="1" x14ac:dyDescent="0.25">
      <c r="A443" s="462"/>
      <c r="B443" s="280" t="s">
        <v>22</v>
      </c>
      <c r="C443" s="281">
        <v>3</v>
      </c>
      <c r="D443" s="280">
        <v>186769108</v>
      </c>
      <c r="E443" s="280" t="s">
        <v>35</v>
      </c>
      <c r="F443" s="280" t="s">
        <v>23</v>
      </c>
      <c r="G443" s="293" t="s">
        <v>25</v>
      </c>
      <c r="H443" s="280" t="s">
        <v>128</v>
      </c>
      <c r="I443" s="308" t="s">
        <v>3273</v>
      </c>
      <c r="J443" s="280" t="s">
        <v>3276</v>
      </c>
      <c r="K443" s="280" t="s">
        <v>29</v>
      </c>
      <c r="L443" s="280" t="s">
        <v>30</v>
      </c>
      <c r="M443" s="280" t="s">
        <v>56</v>
      </c>
      <c r="S443" s="281"/>
      <c r="T443" s="293"/>
      <c r="V443" s="280" t="s">
        <v>3272</v>
      </c>
      <c r="W443" s="280" t="s">
        <v>3274</v>
      </c>
      <c r="X443" s="280" t="s">
        <v>3275</v>
      </c>
      <c r="Y443" s="281">
        <v>68</v>
      </c>
      <c r="Z443" s="283">
        <v>25</v>
      </c>
      <c r="AA443" s="281">
        <v>48</v>
      </c>
      <c r="AB443" s="281">
        <v>0</v>
      </c>
    </row>
    <row r="444" spans="1:28" s="280" customFormat="1" x14ac:dyDescent="0.25">
      <c r="A444" s="462"/>
      <c r="B444" s="280" t="s">
        <v>22</v>
      </c>
      <c r="C444" s="281">
        <v>5</v>
      </c>
      <c r="D444" s="280">
        <v>16694685</v>
      </c>
      <c r="E444" s="280" t="s">
        <v>43</v>
      </c>
      <c r="F444" s="280" t="s">
        <v>23</v>
      </c>
      <c r="G444" s="293" t="s">
        <v>25</v>
      </c>
      <c r="H444" s="280" t="s">
        <v>26</v>
      </c>
      <c r="I444" s="308" t="s">
        <v>3277</v>
      </c>
      <c r="J444" s="280" t="s">
        <v>3280</v>
      </c>
      <c r="K444" s="280" t="s">
        <v>29</v>
      </c>
      <c r="L444" s="280" t="s">
        <v>30</v>
      </c>
      <c r="M444" s="280" t="s">
        <v>56</v>
      </c>
      <c r="S444" s="281"/>
      <c r="T444" s="293"/>
      <c r="V444" s="280" t="s">
        <v>1042</v>
      </c>
      <c r="W444" s="280" t="s">
        <v>3278</v>
      </c>
      <c r="X444" s="280" t="s">
        <v>3279</v>
      </c>
      <c r="Y444" s="281">
        <v>66</v>
      </c>
      <c r="Z444" s="283">
        <v>24.24</v>
      </c>
      <c r="AA444" s="281">
        <v>83</v>
      </c>
      <c r="AB444" s="281">
        <v>0</v>
      </c>
    </row>
    <row r="445" spans="1:28" s="280" customFormat="1" x14ac:dyDescent="0.25">
      <c r="A445" s="462"/>
      <c r="B445" s="280" t="s">
        <v>22</v>
      </c>
      <c r="C445" s="281">
        <v>5</v>
      </c>
      <c r="D445" s="280">
        <v>148578645</v>
      </c>
      <c r="E445" s="280" t="s">
        <v>23</v>
      </c>
      <c r="F445" s="280" t="s">
        <v>43</v>
      </c>
      <c r="G445" s="293" t="s">
        <v>25</v>
      </c>
      <c r="H445" s="280" t="s">
        <v>589</v>
      </c>
      <c r="I445" s="308" t="s">
        <v>3281</v>
      </c>
      <c r="J445" s="280" t="s">
        <v>3284</v>
      </c>
      <c r="K445" s="280" t="s">
        <v>29</v>
      </c>
      <c r="S445" s="281"/>
      <c r="T445" s="293"/>
      <c r="V445" s="280" t="s">
        <v>264</v>
      </c>
      <c r="W445" s="280" t="s">
        <v>3282</v>
      </c>
      <c r="X445" s="280" t="s">
        <v>3283</v>
      </c>
      <c r="Y445" s="281">
        <v>73</v>
      </c>
      <c r="Z445" s="283">
        <v>31.51</v>
      </c>
      <c r="AA445" s="281">
        <v>47</v>
      </c>
      <c r="AB445" s="281">
        <v>0</v>
      </c>
    </row>
    <row r="446" spans="1:28" s="280" customFormat="1" x14ac:dyDescent="0.25">
      <c r="A446" s="462"/>
      <c r="B446" s="280" t="s">
        <v>22</v>
      </c>
      <c r="C446" s="281">
        <v>5</v>
      </c>
      <c r="D446" s="280">
        <v>148578666</v>
      </c>
      <c r="E446" s="280" t="s">
        <v>23</v>
      </c>
      <c r="F446" s="280" t="s">
        <v>24</v>
      </c>
      <c r="G446" s="293" t="s">
        <v>25</v>
      </c>
      <c r="H446" s="280" t="s">
        <v>589</v>
      </c>
      <c r="I446" s="308" t="s">
        <v>3281</v>
      </c>
      <c r="J446" s="280" t="s">
        <v>3286</v>
      </c>
      <c r="K446" s="280" t="s">
        <v>29</v>
      </c>
      <c r="S446" s="281"/>
      <c r="T446" s="293"/>
      <c r="V446" s="280" t="s">
        <v>264</v>
      </c>
      <c r="W446" s="280" t="s">
        <v>3282</v>
      </c>
      <c r="X446" s="280" t="s">
        <v>3285</v>
      </c>
      <c r="Y446" s="281">
        <v>71</v>
      </c>
      <c r="Z446" s="283">
        <v>26.76</v>
      </c>
      <c r="AA446" s="281">
        <v>46</v>
      </c>
      <c r="AB446" s="281">
        <v>0</v>
      </c>
    </row>
    <row r="447" spans="1:28" s="280" customFormat="1" x14ac:dyDescent="0.25">
      <c r="A447" s="462"/>
      <c r="B447" s="280" t="s">
        <v>22</v>
      </c>
      <c r="C447" s="281">
        <v>5</v>
      </c>
      <c r="D447" s="280">
        <v>160016643</v>
      </c>
      <c r="E447" s="280" t="s">
        <v>43</v>
      </c>
      <c r="F447" s="280" t="s">
        <v>23</v>
      </c>
      <c r="G447" s="293" t="s">
        <v>25</v>
      </c>
      <c r="H447" s="280" t="s">
        <v>26</v>
      </c>
      <c r="I447" s="308" t="s">
        <v>3287</v>
      </c>
      <c r="J447" s="280" t="s">
        <v>3290</v>
      </c>
      <c r="K447" s="280" t="s">
        <v>29</v>
      </c>
      <c r="L447" s="280" t="s">
        <v>30</v>
      </c>
      <c r="M447" s="280" t="s">
        <v>56</v>
      </c>
      <c r="S447" s="281"/>
      <c r="T447" s="293"/>
      <c r="V447" s="280" t="s">
        <v>1230</v>
      </c>
      <c r="W447" s="280" t="s">
        <v>3288</v>
      </c>
      <c r="X447" s="280" t="s">
        <v>3289</v>
      </c>
      <c r="Y447" s="281">
        <v>73</v>
      </c>
      <c r="Z447" s="283">
        <v>21.92</v>
      </c>
      <c r="AA447" s="281">
        <v>66</v>
      </c>
      <c r="AB447" s="281">
        <v>0</v>
      </c>
    </row>
    <row r="448" spans="1:28" s="280" customFormat="1" x14ac:dyDescent="0.25">
      <c r="A448" s="462"/>
      <c r="B448" s="280" t="s">
        <v>22</v>
      </c>
      <c r="C448" s="281">
        <v>6</v>
      </c>
      <c r="D448" s="280">
        <v>151670448</v>
      </c>
      <c r="E448" s="280" t="s">
        <v>23</v>
      </c>
      <c r="F448" s="280" t="s">
        <v>24</v>
      </c>
      <c r="G448" s="293" t="s">
        <v>25</v>
      </c>
      <c r="H448" s="280" t="s">
        <v>26</v>
      </c>
      <c r="I448" s="308" t="s">
        <v>3291</v>
      </c>
      <c r="J448" s="280" t="s">
        <v>3294</v>
      </c>
      <c r="K448" s="280" t="s">
        <v>29</v>
      </c>
      <c r="L448" s="280" t="s">
        <v>30</v>
      </c>
      <c r="M448" s="280" t="s">
        <v>56</v>
      </c>
      <c r="N448" s="280">
        <v>759658755</v>
      </c>
      <c r="Q448" s="280" t="s">
        <v>4184</v>
      </c>
      <c r="R448" s="280" t="s">
        <v>4184</v>
      </c>
      <c r="S448" s="281"/>
      <c r="T448" s="293"/>
      <c r="V448" s="280" t="s">
        <v>82</v>
      </c>
      <c r="W448" s="280" t="s">
        <v>3292</v>
      </c>
      <c r="X448" s="280" t="s">
        <v>3293</v>
      </c>
      <c r="Y448" s="281">
        <v>55</v>
      </c>
      <c r="Z448" s="283">
        <v>18.18</v>
      </c>
      <c r="AA448" s="281">
        <v>62</v>
      </c>
      <c r="AB448" s="281">
        <v>0</v>
      </c>
    </row>
    <row r="449" spans="1:28" s="280" customFormat="1" x14ac:dyDescent="0.25">
      <c r="A449" s="462"/>
      <c r="B449" s="280" t="s">
        <v>22</v>
      </c>
      <c r="C449" s="281">
        <v>7</v>
      </c>
      <c r="D449" s="280">
        <v>70885932</v>
      </c>
      <c r="E449" s="280" t="s">
        <v>35</v>
      </c>
      <c r="F449" s="280" t="s">
        <v>43</v>
      </c>
      <c r="G449" s="293" t="s">
        <v>25</v>
      </c>
      <c r="H449" s="280" t="s">
        <v>26</v>
      </c>
      <c r="I449" s="308" t="s">
        <v>3295</v>
      </c>
      <c r="J449" s="280" t="s">
        <v>3298</v>
      </c>
      <c r="K449" s="280" t="s">
        <v>29</v>
      </c>
      <c r="L449" s="280" t="s">
        <v>39</v>
      </c>
      <c r="M449" s="280" t="s">
        <v>51</v>
      </c>
      <c r="S449" s="281"/>
      <c r="T449" s="293"/>
      <c r="V449" s="280" t="s">
        <v>817</v>
      </c>
      <c r="W449" s="280" t="s">
        <v>3296</v>
      </c>
      <c r="X449" s="280" t="s">
        <v>3297</v>
      </c>
      <c r="Y449" s="281">
        <v>123</v>
      </c>
      <c r="Z449" s="283">
        <v>13.01</v>
      </c>
      <c r="AA449" s="281">
        <v>75</v>
      </c>
      <c r="AB449" s="281">
        <v>0</v>
      </c>
    </row>
    <row r="450" spans="1:28" s="280" customFormat="1" x14ac:dyDescent="0.25">
      <c r="A450" s="462"/>
      <c r="B450" s="280" t="s">
        <v>22</v>
      </c>
      <c r="C450" s="281">
        <v>11</v>
      </c>
      <c r="D450" s="280">
        <v>55798276</v>
      </c>
      <c r="E450" s="280" t="s">
        <v>35</v>
      </c>
      <c r="F450" s="280" t="s">
        <v>43</v>
      </c>
      <c r="G450" s="293" t="s">
        <v>25</v>
      </c>
      <c r="H450" s="280" t="s">
        <v>26</v>
      </c>
      <c r="I450" s="308" t="s">
        <v>3299</v>
      </c>
      <c r="J450" s="280" t="s">
        <v>3302</v>
      </c>
      <c r="K450" s="280" t="s">
        <v>29</v>
      </c>
      <c r="L450" s="280" t="s">
        <v>30</v>
      </c>
      <c r="M450" s="280" t="s">
        <v>51</v>
      </c>
      <c r="N450" s="280">
        <v>999979806</v>
      </c>
      <c r="S450" s="281"/>
      <c r="T450" s="293"/>
      <c r="V450" s="280" t="s">
        <v>299</v>
      </c>
      <c r="W450" s="280" t="s">
        <v>3300</v>
      </c>
      <c r="X450" s="280" t="s">
        <v>3301</v>
      </c>
      <c r="Y450" s="281">
        <v>57</v>
      </c>
      <c r="Z450" s="283">
        <v>29.82</v>
      </c>
      <c r="AA450" s="281">
        <v>59</v>
      </c>
      <c r="AB450" s="281">
        <v>0</v>
      </c>
    </row>
    <row r="451" spans="1:28" s="280" customFormat="1" x14ac:dyDescent="0.25">
      <c r="A451" s="462"/>
      <c r="B451" s="280" t="s">
        <v>22</v>
      </c>
      <c r="C451" s="281">
        <v>11</v>
      </c>
      <c r="D451" s="280">
        <v>59828745</v>
      </c>
      <c r="E451" s="280" t="s">
        <v>43</v>
      </c>
      <c r="F451" s="280" t="s">
        <v>24</v>
      </c>
      <c r="G451" s="293" t="s">
        <v>25</v>
      </c>
      <c r="H451" s="280" t="s">
        <v>589</v>
      </c>
      <c r="I451" s="308" t="s">
        <v>3303</v>
      </c>
      <c r="J451" s="280" t="s">
        <v>1102</v>
      </c>
      <c r="K451" s="280" t="s">
        <v>29</v>
      </c>
      <c r="L451" s="280" t="s">
        <v>30</v>
      </c>
      <c r="M451" s="280" t="s">
        <v>31</v>
      </c>
      <c r="S451" s="281"/>
      <c r="T451" s="293">
        <v>929149</v>
      </c>
      <c r="V451" s="280" t="s">
        <v>299</v>
      </c>
      <c r="W451" s="280" t="s">
        <v>3304</v>
      </c>
      <c r="X451" s="280" t="s">
        <v>3305</v>
      </c>
      <c r="Y451" s="281">
        <v>60</v>
      </c>
      <c r="Z451" s="283">
        <v>18.329999999999998</v>
      </c>
      <c r="AA451" s="281">
        <v>47</v>
      </c>
      <c r="AB451" s="281">
        <v>0</v>
      </c>
    </row>
    <row r="452" spans="1:28" s="280" customFormat="1" x14ac:dyDescent="0.25">
      <c r="A452" s="462"/>
      <c r="B452" s="280" t="s">
        <v>22</v>
      </c>
      <c r="C452" s="281">
        <v>12</v>
      </c>
      <c r="D452" s="280">
        <v>6103647</v>
      </c>
      <c r="E452" s="280" t="s">
        <v>43</v>
      </c>
      <c r="F452" s="280" t="s">
        <v>24</v>
      </c>
      <c r="G452" s="293" t="s">
        <v>25</v>
      </c>
      <c r="H452" s="280" t="s">
        <v>26</v>
      </c>
      <c r="I452" s="308" t="s">
        <v>3306</v>
      </c>
      <c r="J452" s="280" t="s">
        <v>3309</v>
      </c>
      <c r="K452" s="280" t="s">
        <v>29</v>
      </c>
      <c r="M452" s="280" t="s">
        <v>51</v>
      </c>
      <c r="S452" s="281"/>
      <c r="T452" s="293"/>
      <c r="V452" s="280" t="s">
        <v>459</v>
      </c>
      <c r="W452" s="280" t="s">
        <v>3307</v>
      </c>
      <c r="X452" s="280" t="s">
        <v>3308</v>
      </c>
      <c r="Y452" s="281">
        <v>67</v>
      </c>
      <c r="Z452" s="283">
        <v>26.87</v>
      </c>
      <c r="AA452" s="281">
        <v>92</v>
      </c>
      <c r="AB452" s="281">
        <v>0</v>
      </c>
    </row>
    <row r="453" spans="1:28" s="280" customFormat="1" x14ac:dyDescent="0.25">
      <c r="A453" s="462"/>
      <c r="B453" s="280" t="s">
        <v>22</v>
      </c>
      <c r="C453" s="281">
        <v>13</v>
      </c>
      <c r="D453" s="280">
        <v>23906722</v>
      </c>
      <c r="E453" s="280" t="s">
        <v>24</v>
      </c>
      <c r="F453" s="280" t="s">
        <v>23</v>
      </c>
      <c r="G453" s="293" t="s">
        <v>25</v>
      </c>
      <c r="H453" s="280" t="s">
        <v>589</v>
      </c>
      <c r="I453" s="308" t="s">
        <v>3311</v>
      </c>
      <c r="J453" s="280" t="s">
        <v>3314</v>
      </c>
      <c r="K453" s="280" t="s">
        <v>29</v>
      </c>
      <c r="M453" s="280" t="s">
        <v>51</v>
      </c>
      <c r="S453" s="281"/>
      <c r="T453" s="293"/>
      <c r="V453" s="280" t="s">
        <v>3310</v>
      </c>
      <c r="W453" s="280" t="s">
        <v>3312</v>
      </c>
      <c r="X453" s="280" t="s">
        <v>3313</v>
      </c>
      <c r="Y453" s="281">
        <v>69</v>
      </c>
      <c r="Z453" s="283">
        <v>7.25</v>
      </c>
      <c r="AA453" s="281">
        <v>59</v>
      </c>
      <c r="AB453" s="281">
        <v>0</v>
      </c>
    </row>
    <row r="454" spans="1:28" s="280" customFormat="1" x14ac:dyDescent="0.25">
      <c r="A454" s="462"/>
      <c r="B454" s="280" t="s">
        <v>22</v>
      </c>
      <c r="C454" s="281">
        <v>19</v>
      </c>
      <c r="D454" s="280">
        <v>8145920</v>
      </c>
      <c r="E454" s="280" t="s">
        <v>43</v>
      </c>
      <c r="F454" s="280" t="s">
        <v>35</v>
      </c>
      <c r="G454" s="293" t="s">
        <v>25</v>
      </c>
      <c r="H454" s="280" t="s">
        <v>26</v>
      </c>
      <c r="I454" s="308" t="s">
        <v>1902</v>
      </c>
      <c r="J454" s="280" t="s">
        <v>3317</v>
      </c>
      <c r="K454" s="280" t="s">
        <v>29</v>
      </c>
      <c r="L454" s="280" t="s">
        <v>30</v>
      </c>
      <c r="M454" s="280" t="s">
        <v>56</v>
      </c>
      <c r="S454" s="281"/>
      <c r="T454" s="293"/>
      <c r="V454" s="280" t="s">
        <v>32</v>
      </c>
      <c r="W454" s="280" t="s">
        <v>3315</v>
      </c>
      <c r="X454" s="280" t="s">
        <v>3316</v>
      </c>
      <c r="Y454" s="281">
        <v>51</v>
      </c>
      <c r="Z454" s="283">
        <v>25.49</v>
      </c>
      <c r="AA454" s="281">
        <v>50</v>
      </c>
      <c r="AB454" s="281">
        <v>0</v>
      </c>
    </row>
    <row r="455" spans="1:28" s="280" customFormat="1" x14ac:dyDescent="0.25">
      <c r="A455" s="462"/>
      <c r="B455" s="280" t="s">
        <v>22</v>
      </c>
      <c r="C455" s="281">
        <v>19</v>
      </c>
      <c r="D455" s="280">
        <v>15291540</v>
      </c>
      <c r="E455" s="280" t="s">
        <v>43</v>
      </c>
      <c r="F455" s="280" t="s">
        <v>35</v>
      </c>
      <c r="G455" s="293" t="s">
        <v>25</v>
      </c>
      <c r="H455" s="280" t="s">
        <v>776</v>
      </c>
      <c r="I455" s="308" t="s">
        <v>3318</v>
      </c>
      <c r="J455" s="280" t="s">
        <v>3321</v>
      </c>
      <c r="K455" s="280" t="s">
        <v>29</v>
      </c>
      <c r="L455" s="280" t="s">
        <v>39</v>
      </c>
      <c r="M455" s="280" t="s">
        <v>51</v>
      </c>
      <c r="S455" s="281"/>
      <c r="T455" s="293"/>
      <c r="V455" s="280" t="s">
        <v>1389</v>
      </c>
      <c r="W455" s="280" t="s">
        <v>3319</v>
      </c>
      <c r="X455" s="280" t="s">
        <v>3320</v>
      </c>
      <c r="Y455" s="281">
        <v>57</v>
      </c>
      <c r="Z455" s="283">
        <v>26.32</v>
      </c>
      <c r="AA455" s="281">
        <v>37</v>
      </c>
      <c r="AB455" s="281">
        <v>0</v>
      </c>
    </row>
    <row r="456" spans="1:28" s="284" customFormat="1" x14ac:dyDescent="0.25">
      <c r="A456" s="462"/>
      <c r="B456" s="284" t="s">
        <v>504</v>
      </c>
      <c r="C456" s="285">
        <v>1</v>
      </c>
      <c r="D456" s="284">
        <v>12921499</v>
      </c>
      <c r="E456" s="284" t="s">
        <v>23</v>
      </c>
      <c r="F456" s="284" t="s">
        <v>43</v>
      </c>
      <c r="G456" s="294" t="s">
        <v>25</v>
      </c>
      <c r="H456" s="284" t="s">
        <v>26</v>
      </c>
      <c r="I456" s="309" t="s">
        <v>3323</v>
      </c>
      <c r="J456" s="284" t="s">
        <v>3326</v>
      </c>
      <c r="K456" s="284" t="s">
        <v>29</v>
      </c>
      <c r="L456" s="284" t="s">
        <v>39</v>
      </c>
      <c r="M456" s="284" t="s">
        <v>51</v>
      </c>
      <c r="N456" s="284">
        <v>4350211</v>
      </c>
      <c r="Q456" s="284" t="s">
        <v>4215</v>
      </c>
      <c r="R456" s="284" t="s">
        <v>4216</v>
      </c>
      <c r="S456" s="285"/>
      <c r="T456" s="294"/>
      <c r="V456" s="284" t="s">
        <v>3322</v>
      </c>
      <c r="W456" s="284" t="s">
        <v>3324</v>
      </c>
      <c r="X456" s="284" t="s">
        <v>3325</v>
      </c>
      <c r="Y456" s="285">
        <v>61</v>
      </c>
      <c r="Z456" s="285">
        <v>13.11</v>
      </c>
      <c r="AA456" s="285">
        <v>70</v>
      </c>
      <c r="AB456" s="285">
        <v>7.14</v>
      </c>
    </row>
    <row r="457" spans="1:28" s="284" customFormat="1" x14ac:dyDescent="0.25">
      <c r="A457" s="462"/>
      <c r="B457" s="284" t="s">
        <v>504</v>
      </c>
      <c r="C457" s="285">
        <v>1</v>
      </c>
      <c r="D457" s="284">
        <v>19480276</v>
      </c>
      <c r="E457" s="284" t="s">
        <v>43</v>
      </c>
      <c r="F457" s="284" t="s">
        <v>35</v>
      </c>
      <c r="G457" s="294" t="s">
        <v>25</v>
      </c>
      <c r="H457" s="284" t="s">
        <v>26</v>
      </c>
      <c r="I457" s="309" t="s">
        <v>3327</v>
      </c>
      <c r="J457" s="284" t="s">
        <v>3330</v>
      </c>
      <c r="K457" s="284" t="s">
        <v>29</v>
      </c>
      <c r="M457" s="284" t="s">
        <v>56</v>
      </c>
      <c r="N457" s="284">
        <v>769594236</v>
      </c>
      <c r="Q457" s="284" t="s">
        <v>4181</v>
      </c>
      <c r="S457" s="285"/>
      <c r="T457" s="294"/>
      <c r="V457" s="284" t="s">
        <v>1128</v>
      </c>
      <c r="W457" s="284" t="s">
        <v>3328</v>
      </c>
      <c r="X457" s="284" t="s">
        <v>3329</v>
      </c>
      <c r="Y457" s="285">
        <v>76</v>
      </c>
      <c r="Z457" s="285">
        <v>50</v>
      </c>
      <c r="AA457" s="285">
        <v>87</v>
      </c>
      <c r="AB457" s="285">
        <v>49.43</v>
      </c>
    </row>
    <row r="458" spans="1:28" s="284" customFormat="1" x14ac:dyDescent="0.25">
      <c r="A458" s="462"/>
      <c r="B458" s="284" t="s">
        <v>504</v>
      </c>
      <c r="C458" s="285">
        <v>1</v>
      </c>
      <c r="D458" s="284">
        <v>220312476</v>
      </c>
      <c r="E458" s="284" t="s">
        <v>35</v>
      </c>
      <c r="F458" s="284" t="s">
        <v>43</v>
      </c>
      <c r="G458" s="294" t="s">
        <v>25</v>
      </c>
      <c r="H458" s="284" t="s">
        <v>26</v>
      </c>
      <c r="I458" s="309" t="s">
        <v>3331</v>
      </c>
      <c r="J458" s="284" t="s">
        <v>3334</v>
      </c>
      <c r="K458" s="284" t="s">
        <v>29</v>
      </c>
      <c r="L458" s="284" t="s">
        <v>39</v>
      </c>
      <c r="M458" s="284" t="s">
        <v>51</v>
      </c>
      <c r="S458" s="285"/>
      <c r="T458" s="294"/>
      <c r="V458" s="284" t="s">
        <v>1457</v>
      </c>
      <c r="W458" s="284" t="s">
        <v>3332</v>
      </c>
      <c r="X458" s="284" t="s">
        <v>3333</v>
      </c>
      <c r="Y458" s="285">
        <v>86</v>
      </c>
      <c r="Z458" s="285">
        <v>33.72</v>
      </c>
      <c r="AA458" s="285">
        <v>87</v>
      </c>
      <c r="AB458" s="285">
        <v>39.08</v>
      </c>
    </row>
    <row r="459" spans="1:28" s="284" customFormat="1" x14ac:dyDescent="0.25">
      <c r="A459" s="462"/>
      <c r="B459" s="284" t="s">
        <v>504</v>
      </c>
      <c r="C459" s="285">
        <v>2</v>
      </c>
      <c r="D459" s="284">
        <v>29432664</v>
      </c>
      <c r="E459" s="284" t="s">
        <v>23</v>
      </c>
      <c r="F459" s="284" t="s">
        <v>24</v>
      </c>
      <c r="G459" s="294" t="s">
        <v>25</v>
      </c>
      <c r="H459" s="284" t="s">
        <v>26</v>
      </c>
      <c r="I459" s="309" t="s">
        <v>2708</v>
      </c>
      <c r="J459" s="284" t="s">
        <v>3337</v>
      </c>
      <c r="K459" s="284" t="s">
        <v>29</v>
      </c>
      <c r="L459" s="284" t="s">
        <v>30</v>
      </c>
      <c r="M459" s="284" t="s">
        <v>56</v>
      </c>
      <c r="N459" s="284">
        <v>113994087</v>
      </c>
      <c r="S459" s="285"/>
      <c r="T459" s="294" t="s">
        <v>3338</v>
      </c>
      <c r="V459" s="284" t="s">
        <v>2707</v>
      </c>
      <c r="W459" s="284" t="s">
        <v>3335</v>
      </c>
      <c r="X459" s="284" t="s">
        <v>3336</v>
      </c>
      <c r="Y459" s="285">
        <v>74</v>
      </c>
      <c r="Z459" s="285">
        <v>55.41</v>
      </c>
      <c r="AA459" s="285">
        <v>81</v>
      </c>
      <c r="AB459" s="285">
        <v>79.010000000000005</v>
      </c>
    </row>
    <row r="460" spans="1:28" s="284" customFormat="1" x14ac:dyDescent="0.25">
      <c r="A460" s="462"/>
      <c r="B460" s="284" t="s">
        <v>504</v>
      </c>
      <c r="C460" s="285">
        <v>3</v>
      </c>
      <c r="D460" s="284">
        <v>138763243</v>
      </c>
      <c r="E460" s="284" t="s">
        <v>23</v>
      </c>
      <c r="F460" s="284" t="s">
        <v>43</v>
      </c>
      <c r="G460" s="294" t="s">
        <v>25</v>
      </c>
      <c r="H460" s="284" t="s">
        <v>36</v>
      </c>
      <c r="I460" s="309" t="s">
        <v>3339</v>
      </c>
      <c r="J460" s="284" t="s">
        <v>3342</v>
      </c>
      <c r="K460" s="284" t="s">
        <v>29</v>
      </c>
      <c r="L460" s="284" t="s">
        <v>30</v>
      </c>
      <c r="M460" s="284" t="s">
        <v>51</v>
      </c>
      <c r="S460" s="285"/>
      <c r="T460" s="294"/>
      <c r="V460" s="284" t="s">
        <v>194</v>
      </c>
      <c r="W460" s="284" t="s">
        <v>3340</v>
      </c>
      <c r="X460" s="284" t="s">
        <v>3341</v>
      </c>
      <c r="Y460" s="285">
        <v>50</v>
      </c>
      <c r="Z460" s="285">
        <v>20</v>
      </c>
      <c r="AA460" s="285">
        <v>48</v>
      </c>
      <c r="AB460" s="285">
        <v>29.17</v>
      </c>
    </row>
    <row r="461" spans="1:28" s="394" customFormat="1" x14ac:dyDescent="0.25">
      <c r="A461" s="462"/>
      <c r="B461" s="284" t="s">
        <v>504</v>
      </c>
      <c r="C461" s="285">
        <v>3</v>
      </c>
      <c r="D461" s="284">
        <v>164786536</v>
      </c>
      <c r="E461" s="284" t="s">
        <v>43</v>
      </c>
      <c r="F461" s="284" t="s">
        <v>24</v>
      </c>
      <c r="G461" s="294" t="s">
        <v>25</v>
      </c>
      <c r="H461" s="284" t="s">
        <v>26</v>
      </c>
      <c r="I461" s="309" t="s">
        <v>3343</v>
      </c>
      <c r="J461" s="284" t="s">
        <v>3346</v>
      </c>
      <c r="K461" s="284" t="s">
        <v>29</v>
      </c>
      <c r="L461" s="284" t="s">
        <v>30</v>
      </c>
      <c r="M461" s="284" t="s">
        <v>56</v>
      </c>
      <c r="N461" s="284"/>
      <c r="O461" s="284"/>
      <c r="P461" s="284"/>
      <c r="Q461" s="284"/>
      <c r="R461" s="284"/>
      <c r="S461" s="285"/>
      <c r="T461" s="294"/>
      <c r="V461" s="284" t="s">
        <v>732</v>
      </c>
      <c r="W461" s="284" t="s">
        <v>3344</v>
      </c>
      <c r="X461" s="284" t="s">
        <v>3345</v>
      </c>
      <c r="Y461" s="285">
        <v>55</v>
      </c>
      <c r="Z461" s="285">
        <v>32.729999999999997</v>
      </c>
      <c r="AA461" s="285">
        <v>62</v>
      </c>
      <c r="AB461" s="285">
        <v>35.479999999999997</v>
      </c>
    </row>
    <row r="462" spans="1:28" s="284" customFormat="1" x14ac:dyDescent="0.25">
      <c r="A462" s="462"/>
      <c r="B462" s="284" t="s">
        <v>504</v>
      </c>
      <c r="C462" s="285">
        <v>4</v>
      </c>
      <c r="D462" s="284">
        <v>8416630</v>
      </c>
      <c r="E462" s="284" t="s">
        <v>43</v>
      </c>
      <c r="F462" s="284" t="s">
        <v>35</v>
      </c>
      <c r="G462" s="294" t="s">
        <v>25</v>
      </c>
      <c r="H462" s="284" t="s">
        <v>26</v>
      </c>
      <c r="I462" s="309" t="s">
        <v>3347</v>
      </c>
      <c r="J462" s="284" t="s">
        <v>3350</v>
      </c>
      <c r="K462" s="284" t="s">
        <v>29</v>
      </c>
      <c r="L462" s="284" t="s">
        <v>39</v>
      </c>
      <c r="M462" s="284" t="s">
        <v>51</v>
      </c>
      <c r="N462" s="284">
        <v>1225896105</v>
      </c>
      <c r="R462" s="284">
        <v>0</v>
      </c>
      <c r="S462" s="285"/>
      <c r="T462" s="294"/>
      <c r="V462" s="284" t="s">
        <v>2717</v>
      </c>
      <c r="W462" s="284" t="s">
        <v>3348</v>
      </c>
      <c r="X462" s="284" t="s">
        <v>3349</v>
      </c>
      <c r="Y462" s="285">
        <v>56</v>
      </c>
      <c r="Z462" s="285">
        <v>25</v>
      </c>
      <c r="AA462" s="285">
        <v>55</v>
      </c>
      <c r="AB462" s="285">
        <v>32.729999999999997</v>
      </c>
    </row>
    <row r="463" spans="1:28" s="284" customFormat="1" x14ac:dyDescent="0.25">
      <c r="A463" s="462"/>
      <c r="B463" s="284" t="s">
        <v>504</v>
      </c>
      <c r="C463" s="285">
        <v>4</v>
      </c>
      <c r="D463" s="284">
        <v>38776367</v>
      </c>
      <c r="E463" s="284" t="s">
        <v>23</v>
      </c>
      <c r="F463" s="284" t="s">
        <v>35</v>
      </c>
      <c r="G463" s="294" t="s">
        <v>25</v>
      </c>
      <c r="H463" s="284" t="s">
        <v>26</v>
      </c>
      <c r="I463" s="309" t="s">
        <v>3352</v>
      </c>
      <c r="J463" s="284" t="s">
        <v>3355</v>
      </c>
      <c r="K463" s="284" t="s">
        <v>29</v>
      </c>
      <c r="L463" s="284" t="s">
        <v>39</v>
      </c>
      <c r="M463" s="284" t="s">
        <v>51</v>
      </c>
      <c r="S463" s="285"/>
      <c r="T463" s="294"/>
      <c r="V463" s="284" t="s">
        <v>3351</v>
      </c>
      <c r="W463" s="284" t="s">
        <v>3353</v>
      </c>
      <c r="X463" s="284" t="s">
        <v>3354</v>
      </c>
      <c r="Y463" s="285">
        <v>52</v>
      </c>
      <c r="Z463" s="285">
        <v>25</v>
      </c>
      <c r="AA463" s="285">
        <v>54</v>
      </c>
      <c r="AB463" s="285">
        <v>31.48</v>
      </c>
    </row>
    <row r="464" spans="1:28" s="284" customFormat="1" x14ac:dyDescent="0.25">
      <c r="A464" s="462"/>
      <c r="B464" s="284" t="s">
        <v>504</v>
      </c>
      <c r="C464" s="285">
        <v>4</v>
      </c>
      <c r="D464" s="284">
        <v>48035075</v>
      </c>
      <c r="E464" s="284" t="s">
        <v>23</v>
      </c>
      <c r="F464" s="284" t="s">
        <v>35</v>
      </c>
      <c r="G464" s="294" t="s">
        <v>25</v>
      </c>
      <c r="H464" s="284" t="s">
        <v>26</v>
      </c>
      <c r="I464" s="309" t="s">
        <v>3356</v>
      </c>
      <c r="J464" s="284" t="s">
        <v>3359</v>
      </c>
      <c r="K464" s="284" t="s">
        <v>29</v>
      </c>
      <c r="L464" s="284" t="s">
        <v>30</v>
      </c>
      <c r="M464" s="284" t="s">
        <v>56</v>
      </c>
      <c r="S464" s="285"/>
      <c r="T464" s="294"/>
      <c r="V464" s="284" t="s">
        <v>125</v>
      </c>
      <c r="W464" s="284" t="s">
        <v>3357</v>
      </c>
      <c r="X464" s="284" t="s">
        <v>3358</v>
      </c>
      <c r="Y464" s="285">
        <v>44</v>
      </c>
      <c r="Z464" s="285">
        <v>45.45</v>
      </c>
      <c r="AA464" s="285">
        <v>52</v>
      </c>
      <c r="AB464" s="285">
        <v>25</v>
      </c>
    </row>
    <row r="465" spans="1:28" s="284" customFormat="1" x14ac:dyDescent="0.25">
      <c r="A465" s="462"/>
      <c r="B465" s="284" t="s">
        <v>504</v>
      </c>
      <c r="C465" s="285">
        <v>4</v>
      </c>
      <c r="D465" s="284">
        <v>159568342</v>
      </c>
      <c r="E465" s="284" t="s">
        <v>23</v>
      </c>
      <c r="F465" s="284" t="s">
        <v>35</v>
      </c>
      <c r="G465" s="294" t="s">
        <v>25</v>
      </c>
      <c r="H465" s="284" t="s">
        <v>168</v>
      </c>
      <c r="I465" s="309" t="s">
        <v>3360</v>
      </c>
      <c r="J465" s="284" t="s">
        <v>3363</v>
      </c>
      <c r="K465" s="284" t="s">
        <v>29</v>
      </c>
      <c r="L465" s="284" t="s">
        <v>39</v>
      </c>
      <c r="M465" s="284" t="s">
        <v>51</v>
      </c>
      <c r="S465" s="285"/>
      <c r="T465" s="294"/>
      <c r="V465" s="284" t="s">
        <v>562</v>
      </c>
      <c r="W465" s="284" t="s">
        <v>3361</v>
      </c>
      <c r="X465" s="284" t="s">
        <v>3362</v>
      </c>
      <c r="Y465" s="285">
        <v>48</v>
      </c>
      <c r="Z465" s="285">
        <v>25</v>
      </c>
      <c r="AA465" s="285">
        <v>45</v>
      </c>
      <c r="AB465" s="285">
        <v>28.89</v>
      </c>
    </row>
    <row r="466" spans="1:28" s="284" customFormat="1" x14ac:dyDescent="0.25">
      <c r="A466" s="462"/>
      <c r="B466" s="284" t="s">
        <v>504</v>
      </c>
      <c r="C466" s="285">
        <v>4</v>
      </c>
      <c r="D466" s="284">
        <v>170043260</v>
      </c>
      <c r="E466" s="284" t="s">
        <v>23</v>
      </c>
      <c r="F466" s="284" t="s">
        <v>24</v>
      </c>
      <c r="G466" s="294" t="s">
        <v>25</v>
      </c>
      <c r="H466" s="284" t="s">
        <v>26</v>
      </c>
      <c r="I466" s="309" t="s">
        <v>3364</v>
      </c>
      <c r="J466" s="284" t="s">
        <v>3367</v>
      </c>
      <c r="K466" s="284" t="s">
        <v>29</v>
      </c>
      <c r="L466" s="284" t="s">
        <v>39</v>
      </c>
      <c r="M466" s="284" t="s">
        <v>56</v>
      </c>
      <c r="N466" s="284">
        <v>762272929</v>
      </c>
      <c r="Q466" s="284" t="s">
        <v>4180</v>
      </c>
      <c r="R466" s="284" t="s">
        <v>4181</v>
      </c>
      <c r="S466" s="285"/>
      <c r="T466" s="294"/>
      <c r="V466" s="284" t="s">
        <v>171</v>
      </c>
      <c r="W466" s="284" t="s">
        <v>3365</v>
      </c>
      <c r="X466" s="284" t="s">
        <v>3366</v>
      </c>
      <c r="Y466" s="285">
        <v>52</v>
      </c>
      <c r="Z466" s="285">
        <v>38.46</v>
      </c>
      <c r="AA466" s="285">
        <v>54</v>
      </c>
      <c r="AB466" s="285">
        <v>24.07</v>
      </c>
    </row>
    <row r="467" spans="1:28" s="395" customFormat="1" x14ac:dyDescent="0.25">
      <c r="A467" s="462"/>
      <c r="B467" s="284" t="s">
        <v>504</v>
      </c>
      <c r="C467" s="285">
        <v>5</v>
      </c>
      <c r="D467" s="284">
        <v>66459867</v>
      </c>
      <c r="E467" s="284" t="s">
        <v>43</v>
      </c>
      <c r="F467" s="284" t="s">
        <v>35</v>
      </c>
      <c r="G467" s="294" t="s">
        <v>25</v>
      </c>
      <c r="H467" s="284" t="s">
        <v>26</v>
      </c>
      <c r="I467" s="309" t="s">
        <v>3368</v>
      </c>
      <c r="J467" s="284" t="s">
        <v>3371</v>
      </c>
      <c r="K467" s="284" t="s">
        <v>29</v>
      </c>
      <c r="L467" s="284" t="s">
        <v>39</v>
      </c>
      <c r="M467" s="284" t="s">
        <v>51</v>
      </c>
      <c r="N467" s="284">
        <v>1304080590</v>
      </c>
      <c r="O467" s="284"/>
      <c r="P467" s="284"/>
      <c r="Q467" s="284"/>
      <c r="R467" s="284"/>
      <c r="S467" s="285"/>
      <c r="T467" s="294"/>
      <c r="V467" s="284" t="s">
        <v>52</v>
      </c>
      <c r="W467" s="284" t="s">
        <v>3369</v>
      </c>
      <c r="X467" s="284" t="s">
        <v>3370</v>
      </c>
      <c r="Y467" s="285">
        <v>94</v>
      </c>
      <c r="Z467" s="285">
        <v>23.4</v>
      </c>
      <c r="AA467" s="285">
        <v>83</v>
      </c>
      <c r="AB467" s="285">
        <v>38.549999999999997</v>
      </c>
    </row>
    <row r="468" spans="1:28" s="284" customFormat="1" x14ac:dyDescent="0.25">
      <c r="A468" s="462"/>
      <c r="B468" s="284" t="s">
        <v>504</v>
      </c>
      <c r="C468" s="285">
        <v>5</v>
      </c>
      <c r="D468" s="284">
        <v>122682339</v>
      </c>
      <c r="E468" s="284" t="s">
        <v>23</v>
      </c>
      <c r="F468" s="284" t="s">
        <v>35</v>
      </c>
      <c r="G468" s="294" t="s">
        <v>25</v>
      </c>
      <c r="H468" s="284" t="s">
        <v>26</v>
      </c>
      <c r="I468" s="309" t="s">
        <v>3372</v>
      </c>
      <c r="J468" s="284" t="s">
        <v>3375</v>
      </c>
      <c r="K468" s="284" t="s">
        <v>29</v>
      </c>
      <c r="L468" s="284" t="s">
        <v>30</v>
      </c>
      <c r="M468" s="284" t="s">
        <v>31</v>
      </c>
      <c r="S468" s="285"/>
      <c r="T468" s="294"/>
      <c r="V468" s="284" t="s">
        <v>65</v>
      </c>
      <c r="W468" s="284" t="s">
        <v>3373</v>
      </c>
      <c r="X468" s="284" t="s">
        <v>3374</v>
      </c>
      <c r="Y468" s="285">
        <v>73</v>
      </c>
      <c r="Z468" s="285">
        <v>24.66</v>
      </c>
      <c r="AA468" s="285">
        <v>94</v>
      </c>
      <c r="AB468" s="285">
        <v>27.66</v>
      </c>
    </row>
    <row r="469" spans="1:28" s="284" customFormat="1" x14ac:dyDescent="0.25">
      <c r="A469" s="462"/>
      <c r="B469" s="284" t="s">
        <v>504</v>
      </c>
      <c r="C469" s="285">
        <v>5</v>
      </c>
      <c r="D469" s="284">
        <v>179251055</v>
      </c>
      <c r="E469" s="284" t="s">
        <v>43</v>
      </c>
      <c r="F469" s="284" t="s">
        <v>35</v>
      </c>
      <c r="G469" s="294" t="s">
        <v>25</v>
      </c>
      <c r="H469" s="284" t="s">
        <v>26</v>
      </c>
      <c r="I469" s="309" t="s">
        <v>3376</v>
      </c>
      <c r="J469" s="284" t="s">
        <v>3379</v>
      </c>
      <c r="K469" s="284" t="s">
        <v>29</v>
      </c>
      <c r="L469" s="284" t="s">
        <v>39</v>
      </c>
      <c r="M469" s="284" t="s">
        <v>51</v>
      </c>
      <c r="N469" s="284">
        <v>755537361</v>
      </c>
      <c r="Q469" s="284" t="s">
        <v>4181</v>
      </c>
      <c r="R469" s="284" t="s">
        <v>4181</v>
      </c>
      <c r="S469" s="285"/>
      <c r="T469" s="294">
        <v>6790007</v>
      </c>
      <c r="V469" s="284" t="s">
        <v>1326</v>
      </c>
      <c r="W469" s="284" t="s">
        <v>3377</v>
      </c>
      <c r="X469" s="284" t="s">
        <v>3378</v>
      </c>
      <c r="Y469" s="285">
        <v>60</v>
      </c>
      <c r="Z469" s="285">
        <v>16.670000000000002</v>
      </c>
      <c r="AA469" s="285">
        <v>61</v>
      </c>
      <c r="AB469" s="285">
        <v>34.43</v>
      </c>
    </row>
    <row r="470" spans="1:28" s="284" customFormat="1" x14ac:dyDescent="0.25">
      <c r="A470" s="462"/>
      <c r="B470" s="284" t="s">
        <v>504</v>
      </c>
      <c r="C470" s="285">
        <v>6</v>
      </c>
      <c r="D470" s="284">
        <v>37298875</v>
      </c>
      <c r="E470" s="284" t="s">
        <v>24</v>
      </c>
      <c r="F470" s="284" t="s">
        <v>23</v>
      </c>
      <c r="G470" s="294" t="s">
        <v>25</v>
      </c>
      <c r="H470" s="284" t="s">
        <v>73</v>
      </c>
      <c r="I470" s="309" t="s">
        <v>3380</v>
      </c>
      <c r="J470" s="284" t="s">
        <v>3383</v>
      </c>
      <c r="K470" s="284" t="s">
        <v>29</v>
      </c>
      <c r="L470" s="284" t="s">
        <v>30</v>
      </c>
      <c r="M470" s="284" t="s">
        <v>56</v>
      </c>
      <c r="S470" s="285"/>
      <c r="T470" s="294">
        <v>236877</v>
      </c>
      <c r="V470" s="284" t="s">
        <v>501</v>
      </c>
      <c r="W470" s="284" t="s">
        <v>3381</v>
      </c>
      <c r="X470" s="284" t="s">
        <v>3382</v>
      </c>
      <c r="Y470" s="285">
        <v>71</v>
      </c>
      <c r="Z470" s="285">
        <v>32.39</v>
      </c>
      <c r="AA470" s="285">
        <v>71</v>
      </c>
      <c r="AB470" s="285">
        <v>21.13</v>
      </c>
    </row>
    <row r="471" spans="1:28" s="284" customFormat="1" x14ac:dyDescent="0.25">
      <c r="A471" s="462"/>
      <c r="B471" s="284" t="s">
        <v>504</v>
      </c>
      <c r="C471" s="285">
        <v>6</v>
      </c>
      <c r="D471" s="284">
        <v>39328173</v>
      </c>
      <c r="E471" s="284" t="s">
        <v>43</v>
      </c>
      <c r="F471" s="284" t="s">
        <v>24</v>
      </c>
      <c r="G471" s="294" t="s">
        <v>25</v>
      </c>
      <c r="H471" s="284" t="s">
        <v>26</v>
      </c>
      <c r="I471" s="309" t="s">
        <v>3384</v>
      </c>
      <c r="J471" s="284" t="s">
        <v>3387</v>
      </c>
      <c r="K471" s="284" t="s">
        <v>29</v>
      </c>
      <c r="L471" s="284" t="s">
        <v>39</v>
      </c>
      <c r="M471" s="284" t="s">
        <v>56</v>
      </c>
      <c r="S471" s="285"/>
      <c r="T471" s="294"/>
      <c r="V471" s="284" t="s">
        <v>501</v>
      </c>
      <c r="W471" s="284" t="s">
        <v>3385</v>
      </c>
      <c r="X471" s="284" t="s">
        <v>3386</v>
      </c>
      <c r="Y471" s="285">
        <v>74</v>
      </c>
      <c r="Z471" s="285">
        <v>22.97</v>
      </c>
      <c r="AA471" s="285">
        <v>80</v>
      </c>
      <c r="AB471" s="285">
        <v>20</v>
      </c>
    </row>
    <row r="472" spans="1:28" s="284" customFormat="1" x14ac:dyDescent="0.25">
      <c r="A472" s="462"/>
      <c r="B472" s="284" t="s">
        <v>504</v>
      </c>
      <c r="C472" s="285">
        <v>6</v>
      </c>
      <c r="D472" s="284">
        <v>151116990</v>
      </c>
      <c r="E472" s="284" t="s">
        <v>35</v>
      </c>
      <c r="F472" s="284" t="s">
        <v>24</v>
      </c>
      <c r="G472" s="294" t="s">
        <v>25</v>
      </c>
      <c r="H472" s="284" t="s">
        <v>3388</v>
      </c>
      <c r="I472" s="309" t="s">
        <v>3389</v>
      </c>
      <c r="K472" s="284" t="s">
        <v>485</v>
      </c>
      <c r="S472" s="285"/>
      <c r="T472" s="294"/>
      <c r="V472" s="284" t="s">
        <v>82</v>
      </c>
      <c r="W472" s="284" t="s">
        <v>3390</v>
      </c>
      <c r="X472" s="284" t="s">
        <v>3391</v>
      </c>
      <c r="Y472" s="285">
        <v>72</v>
      </c>
      <c r="Z472" s="285">
        <v>25</v>
      </c>
      <c r="AA472" s="285">
        <v>57</v>
      </c>
      <c r="AB472" s="285">
        <v>19.3</v>
      </c>
    </row>
    <row r="473" spans="1:28" s="284" customFormat="1" x14ac:dyDescent="0.25">
      <c r="A473" s="462"/>
      <c r="B473" s="284" t="s">
        <v>504</v>
      </c>
      <c r="C473" s="285">
        <v>7</v>
      </c>
      <c r="D473" s="284">
        <v>87772403</v>
      </c>
      <c r="E473" s="284" t="s">
        <v>43</v>
      </c>
      <c r="F473" s="284" t="s">
        <v>24</v>
      </c>
      <c r="G473" s="294" t="s">
        <v>25</v>
      </c>
      <c r="H473" s="284" t="s">
        <v>26</v>
      </c>
      <c r="I473" s="309" t="s">
        <v>3392</v>
      </c>
      <c r="J473" s="284" t="s">
        <v>3395</v>
      </c>
      <c r="K473" s="284" t="s">
        <v>29</v>
      </c>
      <c r="L473" s="284" t="s">
        <v>39</v>
      </c>
      <c r="M473" s="284" t="s">
        <v>51</v>
      </c>
      <c r="N473" s="284">
        <v>753484733</v>
      </c>
      <c r="Q473" s="284" t="s">
        <v>4202</v>
      </c>
      <c r="R473" s="284" t="s">
        <v>4183</v>
      </c>
      <c r="S473" s="285"/>
      <c r="T473" s="294"/>
      <c r="V473" s="284" t="s">
        <v>233</v>
      </c>
      <c r="W473" s="284" t="s">
        <v>3393</v>
      </c>
      <c r="X473" s="284" t="s">
        <v>3394</v>
      </c>
      <c r="Y473" s="285">
        <v>103</v>
      </c>
      <c r="Z473" s="285">
        <v>12.62</v>
      </c>
      <c r="AA473" s="285">
        <v>97</v>
      </c>
      <c r="AB473" s="285">
        <v>20.62</v>
      </c>
    </row>
    <row r="474" spans="1:28" s="395" customFormat="1" x14ac:dyDescent="0.25">
      <c r="A474" s="462"/>
      <c r="B474" s="284" t="s">
        <v>504</v>
      </c>
      <c r="C474" s="285">
        <v>7</v>
      </c>
      <c r="D474" s="284">
        <v>101847740</v>
      </c>
      <c r="E474" s="284" t="s">
        <v>23</v>
      </c>
      <c r="F474" s="284" t="s">
        <v>24</v>
      </c>
      <c r="G474" s="294" t="s">
        <v>25</v>
      </c>
      <c r="H474" s="284" t="s">
        <v>589</v>
      </c>
      <c r="I474" s="309" t="s">
        <v>3396</v>
      </c>
      <c r="J474" s="284" t="s">
        <v>3399</v>
      </c>
      <c r="K474" s="284" t="s">
        <v>109</v>
      </c>
      <c r="L474" s="284"/>
      <c r="M474" s="284"/>
      <c r="N474" s="284"/>
      <c r="O474" s="284"/>
      <c r="P474" s="284"/>
      <c r="Q474" s="284"/>
      <c r="R474" s="284"/>
      <c r="S474" s="285"/>
      <c r="T474" s="294"/>
      <c r="V474" s="284" t="s">
        <v>238</v>
      </c>
      <c r="W474" s="284" t="s">
        <v>3397</v>
      </c>
      <c r="X474" s="284" t="s">
        <v>3398</v>
      </c>
      <c r="Y474" s="285">
        <v>97</v>
      </c>
      <c r="Z474" s="285">
        <v>18.559999999999999</v>
      </c>
      <c r="AA474" s="285">
        <v>112</v>
      </c>
      <c r="AB474" s="285">
        <v>27.68</v>
      </c>
    </row>
    <row r="475" spans="1:28" s="284" customFormat="1" x14ac:dyDescent="0.25">
      <c r="A475" s="462"/>
      <c r="B475" s="284" t="s">
        <v>504</v>
      </c>
      <c r="C475" s="285">
        <v>7</v>
      </c>
      <c r="D475" s="284">
        <v>103301862</v>
      </c>
      <c r="E475" s="284" t="s">
        <v>24</v>
      </c>
      <c r="F475" s="284" t="s">
        <v>43</v>
      </c>
      <c r="G475" s="294" t="s">
        <v>25</v>
      </c>
      <c r="H475" s="284" t="s">
        <v>26</v>
      </c>
      <c r="I475" s="309" t="s">
        <v>413</v>
      </c>
      <c r="J475" s="284" t="s">
        <v>3402</v>
      </c>
      <c r="K475" s="284" t="s">
        <v>29</v>
      </c>
      <c r="M475" s="284" t="s">
        <v>56</v>
      </c>
      <c r="S475" s="285"/>
      <c r="T475" s="294"/>
      <c r="V475" s="284" t="s">
        <v>238</v>
      </c>
      <c r="W475" s="284" t="s">
        <v>3400</v>
      </c>
      <c r="X475" s="284" t="s">
        <v>3401</v>
      </c>
      <c r="Y475" s="285">
        <v>98</v>
      </c>
      <c r="Z475" s="285">
        <v>1</v>
      </c>
      <c r="AA475" s="285">
        <v>100</v>
      </c>
      <c r="AB475" s="287">
        <v>14</v>
      </c>
    </row>
    <row r="476" spans="1:28" s="395" customFormat="1" x14ac:dyDescent="0.25">
      <c r="A476" s="462"/>
      <c r="B476" s="284" t="s">
        <v>504</v>
      </c>
      <c r="C476" s="285">
        <v>7</v>
      </c>
      <c r="D476" s="284">
        <v>137782639</v>
      </c>
      <c r="E476" s="284" t="s">
        <v>43</v>
      </c>
      <c r="F476" s="284" t="s">
        <v>35</v>
      </c>
      <c r="G476" s="294" t="s">
        <v>25</v>
      </c>
      <c r="H476" s="284" t="s">
        <v>26</v>
      </c>
      <c r="I476" s="309" t="s">
        <v>3403</v>
      </c>
      <c r="J476" s="284" t="s">
        <v>3406</v>
      </c>
      <c r="K476" s="284" t="s">
        <v>29</v>
      </c>
      <c r="L476" s="284" t="s">
        <v>39</v>
      </c>
      <c r="M476" s="284" t="s">
        <v>51</v>
      </c>
      <c r="N476" s="284">
        <v>867626075</v>
      </c>
      <c r="O476" s="284"/>
      <c r="P476" s="284"/>
      <c r="Q476" s="284"/>
      <c r="R476" s="284"/>
      <c r="S476" s="285"/>
      <c r="T476" s="294"/>
      <c r="V476" s="284" t="s">
        <v>243</v>
      </c>
      <c r="W476" s="284" t="s">
        <v>3404</v>
      </c>
      <c r="X476" s="284" t="s">
        <v>3405</v>
      </c>
      <c r="Y476" s="285">
        <v>101</v>
      </c>
      <c r="Z476" s="285">
        <v>18.809999999999999</v>
      </c>
      <c r="AA476" s="285">
        <v>94</v>
      </c>
      <c r="AB476" s="285">
        <v>20.21</v>
      </c>
    </row>
    <row r="477" spans="1:28" s="284" customFormat="1" x14ac:dyDescent="0.25">
      <c r="A477" s="462"/>
      <c r="B477" s="284" t="s">
        <v>504</v>
      </c>
      <c r="C477" s="285">
        <v>8</v>
      </c>
      <c r="D477" s="284">
        <v>144942698</v>
      </c>
      <c r="E477" s="284" t="s">
        <v>23</v>
      </c>
      <c r="F477" s="284" t="s">
        <v>43</v>
      </c>
      <c r="G477" s="294" t="s">
        <v>25</v>
      </c>
      <c r="H477" s="284" t="s">
        <v>26</v>
      </c>
      <c r="I477" s="309" t="s">
        <v>3407</v>
      </c>
      <c r="J477" s="284" t="s">
        <v>3410</v>
      </c>
      <c r="K477" s="284" t="s">
        <v>29</v>
      </c>
      <c r="L477" s="284" t="s">
        <v>30</v>
      </c>
      <c r="M477" s="284" t="s">
        <v>56</v>
      </c>
      <c r="R477" s="284" t="s">
        <v>4181</v>
      </c>
      <c r="S477" s="285"/>
      <c r="T477" s="294"/>
      <c r="V477" s="284" t="s">
        <v>70</v>
      </c>
      <c r="W477" s="284" t="s">
        <v>3408</v>
      </c>
      <c r="X477" s="284" t="s">
        <v>3409</v>
      </c>
      <c r="Y477" s="285">
        <v>52</v>
      </c>
      <c r="Z477" s="285">
        <v>21.15</v>
      </c>
      <c r="AA477" s="285">
        <v>72</v>
      </c>
      <c r="AB477" s="285">
        <v>25</v>
      </c>
    </row>
    <row r="478" spans="1:28" s="395" customFormat="1" x14ac:dyDescent="0.25">
      <c r="A478" s="462"/>
      <c r="B478" s="284" t="s">
        <v>504</v>
      </c>
      <c r="C478" s="285">
        <v>9</v>
      </c>
      <c r="D478" s="284">
        <v>4576661</v>
      </c>
      <c r="E478" s="284" t="s">
        <v>23</v>
      </c>
      <c r="F478" s="284" t="s">
        <v>35</v>
      </c>
      <c r="G478" s="294" t="s">
        <v>25</v>
      </c>
      <c r="H478" s="284" t="s">
        <v>26</v>
      </c>
      <c r="I478" s="309" t="s">
        <v>3411</v>
      </c>
      <c r="J478" s="284" t="s">
        <v>3414</v>
      </c>
      <c r="K478" s="284" t="s">
        <v>29</v>
      </c>
      <c r="L478" s="284" t="s">
        <v>30</v>
      </c>
      <c r="M478" s="284" t="s">
        <v>56</v>
      </c>
      <c r="N478" s="284"/>
      <c r="O478" s="284"/>
      <c r="P478" s="284"/>
      <c r="Q478" s="284"/>
      <c r="R478" s="284"/>
      <c r="S478" s="285"/>
      <c r="T478" s="294"/>
      <c r="V478" s="284" t="s">
        <v>865</v>
      </c>
      <c r="W478" s="284" t="s">
        <v>3412</v>
      </c>
      <c r="X478" s="284" t="s">
        <v>3413</v>
      </c>
      <c r="Y478" s="285">
        <v>59</v>
      </c>
      <c r="Z478" s="285">
        <v>38.979999999999997</v>
      </c>
      <c r="AA478" s="285">
        <v>49</v>
      </c>
      <c r="AB478" s="285">
        <v>34.69</v>
      </c>
    </row>
    <row r="479" spans="1:28" s="395" customFormat="1" x14ac:dyDescent="0.25">
      <c r="A479" s="462"/>
      <c r="B479" s="284" t="s">
        <v>504</v>
      </c>
      <c r="C479" s="285">
        <v>9</v>
      </c>
      <c r="D479" s="284">
        <v>140325741</v>
      </c>
      <c r="E479" s="284" t="s">
        <v>23</v>
      </c>
      <c r="F479" s="284" t="s">
        <v>35</v>
      </c>
      <c r="G479" s="294" t="s">
        <v>25</v>
      </c>
      <c r="H479" s="284" t="s">
        <v>26</v>
      </c>
      <c r="I479" s="309" t="s">
        <v>3415</v>
      </c>
      <c r="J479" s="284" t="s">
        <v>3418</v>
      </c>
      <c r="K479" s="284" t="s">
        <v>29</v>
      </c>
      <c r="L479" s="284" t="s">
        <v>39</v>
      </c>
      <c r="M479" s="284" t="s">
        <v>51</v>
      </c>
      <c r="N479" s="284"/>
      <c r="O479" s="284"/>
      <c r="P479" s="284"/>
      <c r="Q479" s="284"/>
      <c r="R479" s="284"/>
      <c r="S479" s="285"/>
      <c r="T479" s="294"/>
      <c r="V479" s="284" t="s">
        <v>1257</v>
      </c>
      <c r="W479" s="284" t="s">
        <v>3416</v>
      </c>
      <c r="X479" s="284" t="s">
        <v>3417</v>
      </c>
      <c r="Y479" s="285">
        <v>74</v>
      </c>
      <c r="Z479" s="285">
        <v>24.32</v>
      </c>
      <c r="AA479" s="285">
        <v>64</v>
      </c>
      <c r="AB479" s="285">
        <v>37.5</v>
      </c>
    </row>
    <row r="480" spans="1:28" s="395" customFormat="1" x14ac:dyDescent="0.25">
      <c r="A480" s="462"/>
      <c r="B480" s="284" t="s">
        <v>504</v>
      </c>
      <c r="C480" s="285">
        <v>10</v>
      </c>
      <c r="D480" s="284">
        <v>43285863</v>
      </c>
      <c r="E480" s="284" t="s">
        <v>43</v>
      </c>
      <c r="F480" s="284" t="s">
        <v>35</v>
      </c>
      <c r="G480" s="294" t="s">
        <v>25</v>
      </c>
      <c r="H480" s="284" t="s">
        <v>26</v>
      </c>
      <c r="I480" s="309" t="s">
        <v>3419</v>
      </c>
      <c r="J480" s="284" t="s">
        <v>3422</v>
      </c>
      <c r="K480" s="284" t="s">
        <v>29</v>
      </c>
      <c r="L480" s="284" t="s">
        <v>39</v>
      </c>
      <c r="M480" s="284" t="s">
        <v>56</v>
      </c>
      <c r="N480" s="284">
        <v>754117618</v>
      </c>
      <c r="O480" s="284"/>
      <c r="P480" s="284"/>
      <c r="Q480" s="284" t="s">
        <v>4180</v>
      </c>
      <c r="R480" s="284" t="s">
        <v>4180</v>
      </c>
      <c r="S480" s="285"/>
      <c r="T480" s="294">
        <v>3437735</v>
      </c>
      <c r="V480" s="284" t="s">
        <v>259</v>
      </c>
      <c r="W480" s="284" t="s">
        <v>3420</v>
      </c>
      <c r="X480" s="284" t="s">
        <v>3421</v>
      </c>
      <c r="Y480" s="285">
        <v>56</v>
      </c>
      <c r="Z480" s="285">
        <v>28.57</v>
      </c>
      <c r="AA480" s="285">
        <v>69</v>
      </c>
      <c r="AB480" s="285">
        <v>23.19</v>
      </c>
    </row>
    <row r="481" spans="1:28" s="284" customFormat="1" x14ac:dyDescent="0.25">
      <c r="A481" s="462"/>
      <c r="B481" s="284" t="s">
        <v>504</v>
      </c>
      <c r="C481" s="285">
        <v>10</v>
      </c>
      <c r="D481" s="284">
        <v>44871437</v>
      </c>
      <c r="E481" s="284" t="s">
        <v>24</v>
      </c>
      <c r="F481" s="284" t="s">
        <v>23</v>
      </c>
      <c r="G481" s="294" t="s">
        <v>25</v>
      </c>
      <c r="H481" s="284" t="s">
        <v>589</v>
      </c>
      <c r="I481" s="309" t="s">
        <v>3423</v>
      </c>
      <c r="J481" s="284" t="s">
        <v>3426</v>
      </c>
      <c r="K481" s="284" t="s">
        <v>29</v>
      </c>
      <c r="M481" s="284" t="s">
        <v>56</v>
      </c>
      <c r="S481" s="285"/>
      <c r="T481" s="294"/>
      <c r="V481" s="284" t="s">
        <v>259</v>
      </c>
      <c r="W481" s="284" t="s">
        <v>3424</v>
      </c>
      <c r="X481" s="284" t="s">
        <v>3425</v>
      </c>
      <c r="Y481" s="285">
        <v>47</v>
      </c>
      <c r="Z481" s="285">
        <v>31.91</v>
      </c>
      <c r="AA481" s="285">
        <v>60</v>
      </c>
      <c r="AB481" s="285">
        <v>26.67</v>
      </c>
    </row>
    <row r="482" spans="1:28" s="284" customFormat="1" x14ac:dyDescent="0.25">
      <c r="A482" s="462"/>
      <c r="B482" s="284" t="s">
        <v>504</v>
      </c>
      <c r="C482" s="285">
        <v>10</v>
      </c>
      <c r="D482" s="284">
        <v>102239739</v>
      </c>
      <c r="E482" s="284" t="s">
        <v>23</v>
      </c>
      <c r="F482" s="284" t="s">
        <v>35</v>
      </c>
      <c r="G482" s="294" t="s">
        <v>25</v>
      </c>
      <c r="H482" s="284" t="s">
        <v>26</v>
      </c>
      <c r="I482" s="309" t="s">
        <v>3427</v>
      </c>
      <c r="J482" s="284" t="s">
        <v>3430</v>
      </c>
      <c r="K482" s="284" t="s">
        <v>29</v>
      </c>
      <c r="L482" s="284" t="s">
        <v>39</v>
      </c>
      <c r="M482" s="284" t="s">
        <v>31</v>
      </c>
      <c r="S482" s="285"/>
      <c r="T482" s="294"/>
      <c r="V482" s="284" t="s">
        <v>1568</v>
      </c>
      <c r="W482" s="284" t="s">
        <v>3428</v>
      </c>
      <c r="X482" s="284" t="s">
        <v>3429</v>
      </c>
      <c r="Y482" s="285">
        <v>52</v>
      </c>
      <c r="Z482" s="285">
        <v>40.380000000000003</v>
      </c>
      <c r="AA482" s="285">
        <v>71</v>
      </c>
      <c r="AB482" s="285">
        <v>23.94</v>
      </c>
    </row>
    <row r="483" spans="1:28" s="284" customFormat="1" x14ac:dyDescent="0.25">
      <c r="A483" s="462"/>
      <c r="B483" s="284" t="s">
        <v>504</v>
      </c>
      <c r="C483" s="285">
        <v>11</v>
      </c>
      <c r="D483" s="284">
        <v>6048049</v>
      </c>
      <c r="E483" s="284" t="s">
        <v>43</v>
      </c>
      <c r="F483" s="284" t="s">
        <v>24</v>
      </c>
      <c r="G483" s="294" t="s">
        <v>25</v>
      </c>
      <c r="H483" s="284" t="s">
        <v>26</v>
      </c>
      <c r="I483" s="309" t="s">
        <v>1189</v>
      </c>
      <c r="J483" s="284" t="s">
        <v>3433</v>
      </c>
      <c r="K483" s="284" t="s">
        <v>29</v>
      </c>
      <c r="L483" s="284" t="s">
        <v>30</v>
      </c>
      <c r="M483" s="284" t="s">
        <v>31</v>
      </c>
      <c r="S483" s="285"/>
      <c r="T483" s="294"/>
      <c r="V483" s="284" t="s">
        <v>1191</v>
      </c>
      <c r="W483" s="284" t="s">
        <v>3431</v>
      </c>
      <c r="X483" s="284" t="s">
        <v>3432</v>
      </c>
      <c r="Y483" s="285">
        <v>59</v>
      </c>
      <c r="Z483" s="285">
        <v>23.73</v>
      </c>
      <c r="AA483" s="285">
        <v>60</v>
      </c>
      <c r="AB483" s="285">
        <v>30</v>
      </c>
    </row>
    <row r="484" spans="1:28" s="284" customFormat="1" x14ac:dyDescent="0.25">
      <c r="A484" s="462"/>
      <c r="B484" s="284" t="s">
        <v>504</v>
      </c>
      <c r="C484" s="285">
        <v>11</v>
      </c>
      <c r="D484" s="284">
        <v>60183194</v>
      </c>
      <c r="E484" s="284" t="s">
        <v>43</v>
      </c>
      <c r="F484" s="284" t="s">
        <v>23</v>
      </c>
      <c r="G484" s="294" t="s">
        <v>25</v>
      </c>
      <c r="H484" s="284" t="s">
        <v>168</v>
      </c>
      <c r="I484" s="309" t="s">
        <v>3434</v>
      </c>
      <c r="J484" s="284" t="s">
        <v>3437</v>
      </c>
      <c r="K484" s="284" t="s">
        <v>29</v>
      </c>
      <c r="L484" s="284" t="s">
        <v>39</v>
      </c>
      <c r="M484" s="284" t="s">
        <v>51</v>
      </c>
      <c r="S484" s="285"/>
      <c r="T484" s="294"/>
      <c r="V484" s="284" t="s">
        <v>150</v>
      </c>
      <c r="W484" s="284" t="s">
        <v>3435</v>
      </c>
      <c r="X484" s="284" t="s">
        <v>3436</v>
      </c>
      <c r="Y484" s="285">
        <v>56</v>
      </c>
      <c r="Z484" s="285">
        <v>33.93</v>
      </c>
      <c r="AA484" s="285">
        <v>64</v>
      </c>
      <c r="AB484" s="285">
        <v>29.69</v>
      </c>
    </row>
    <row r="485" spans="1:28" s="395" customFormat="1" x14ac:dyDescent="0.25">
      <c r="A485" s="462"/>
      <c r="B485" s="284" t="s">
        <v>504</v>
      </c>
      <c r="C485" s="285">
        <v>11</v>
      </c>
      <c r="D485" s="284">
        <v>64111758</v>
      </c>
      <c r="E485" s="284" t="s">
        <v>23</v>
      </c>
      <c r="F485" s="284" t="s">
        <v>35</v>
      </c>
      <c r="G485" s="294" t="s">
        <v>25</v>
      </c>
      <c r="H485" s="284" t="s">
        <v>26</v>
      </c>
      <c r="I485" s="309" t="s">
        <v>3438</v>
      </c>
      <c r="J485" s="284" t="s">
        <v>3441</v>
      </c>
      <c r="K485" s="284" t="s">
        <v>29</v>
      </c>
      <c r="L485" s="284" t="s">
        <v>39</v>
      </c>
      <c r="M485" s="284" t="s">
        <v>51</v>
      </c>
      <c r="N485" s="284"/>
      <c r="O485" s="284"/>
      <c r="P485" s="284"/>
      <c r="Q485" s="284"/>
      <c r="R485" s="284"/>
      <c r="S485" s="285"/>
      <c r="T485" s="294"/>
      <c r="V485" s="284" t="s">
        <v>391</v>
      </c>
      <c r="W485" s="284" t="s">
        <v>3439</v>
      </c>
      <c r="X485" s="284" t="s">
        <v>3440</v>
      </c>
      <c r="Y485" s="285">
        <v>53</v>
      </c>
      <c r="Z485" s="285">
        <v>32.08</v>
      </c>
      <c r="AA485" s="285">
        <v>63</v>
      </c>
      <c r="AB485" s="285">
        <v>33.33</v>
      </c>
    </row>
    <row r="486" spans="1:28" s="284" customFormat="1" x14ac:dyDescent="0.25">
      <c r="A486" s="462"/>
      <c r="B486" s="284" t="s">
        <v>504</v>
      </c>
      <c r="C486" s="285">
        <v>11</v>
      </c>
      <c r="D486" s="284">
        <v>102984314</v>
      </c>
      <c r="E486" s="284" t="s">
        <v>23</v>
      </c>
      <c r="F486" s="284" t="s">
        <v>43</v>
      </c>
      <c r="G486" s="294" t="s">
        <v>25</v>
      </c>
      <c r="H486" s="284" t="s">
        <v>26</v>
      </c>
      <c r="I486" s="309" t="s">
        <v>3442</v>
      </c>
      <c r="J486" s="284" t="s">
        <v>3445</v>
      </c>
      <c r="K486" s="284" t="s">
        <v>29</v>
      </c>
      <c r="L486" s="284" t="s">
        <v>39</v>
      </c>
      <c r="M486" s="284" t="s">
        <v>31</v>
      </c>
      <c r="S486" s="285"/>
      <c r="T486" s="294"/>
      <c r="V486" s="284" t="s">
        <v>376</v>
      </c>
      <c r="W486" s="284" t="s">
        <v>3443</v>
      </c>
      <c r="X486" s="284" t="s">
        <v>3444</v>
      </c>
      <c r="Y486" s="285">
        <v>40</v>
      </c>
      <c r="Z486" s="285">
        <v>20</v>
      </c>
      <c r="AA486" s="285">
        <v>60</v>
      </c>
      <c r="AB486" s="285">
        <v>25</v>
      </c>
    </row>
    <row r="487" spans="1:28" s="284" customFormat="1" x14ac:dyDescent="0.25">
      <c r="A487" s="462"/>
      <c r="B487" s="284" t="s">
        <v>504</v>
      </c>
      <c r="C487" s="285">
        <v>12</v>
      </c>
      <c r="D487" s="284">
        <v>6649656</v>
      </c>
      <c r="E487" s="284" t="s">
        <v>35</v>
      </c>
      <c r="F487" s="284" t="s">
        <v>23</v>
      </c>
      <c r="G487" s="294" t="s">
        <v>25</v>
      </c>
      <c r="H487" s="284" t="s">
        <v>168</v>
      </c>
      <c r="I487" s="309" t="s">
        <v>3446</v>
      </c>
      <c r="J487" s="284" t="s">
        <v>3449</v>
      </c>
      <c r="K487" s="284" t="s">
        <v>29</v>
      </c>
      <c r="M487" s="284" t="s">
        <v>51</v>
      </c>
      <c r="N487" s="284">
        <v>558196731</v>
      </c>
      <c r="Q487" s="284" t="s">
        <v>4181</v>
      </c>
      <c r="S487" s="285"/>
      <c r="T487" s="294"/>
      <c r="V487" s="284" t="s">
        <v>459</v>
      </c>
      <c r="W487" s="284" t="s">
        <v>3447</v>
      </c>
      <c r="X487" s="284" t="s">
        <v>3448</v>
      </c>
      <c r="Y487" s="285">
        <v>84</v>
      </c>
      <c r="Z487" s="285">
        <v>16.670000000000002</v>
      </c>
      <c r="AA487" s="285">
        <v>82</v>
      </c>
      <c r="AB487" s="285">
        <v>12</v>
      </c>
    </row>
    <row r="488" spans="1:28" s="395" customFormat="1" x14ac:dyDescent="0.25">
      <c r="A488" s="462"/>
      <c r="B488" s="284" t="s">
        <v>504</v>
      </c>
      <c r="C488" s="285">
        <v>14</v>
      </c>
      <c r="D488" s="284">
        <v>95566193</v>
      </c>
      <c r="E488" s="284" t="s">
        <v>43</v>
      </c>
      <c r="F488" s="284" t="s">
        <v>24</v>
      </c>
      <c r="G488" s="294" t="s">
        <v>25</v>
      </c>
      <c r="H488" s="284" t="s">
        <v>26</v>
      </c>
      <c r="I488" s="309" t="s">
        <v>2777</v>
      </c>
      <c r="J488" s="284" t="s">
        <v>3453</v>
      </c>
      <c r="K488" s="284" t="s">
        <v>29</v>
      </c>
      <c r="L488" s="284" t="s">
        <v>39</v>
      </c>
      <c r="M488" s="284" t="s">
        <v>51</v>
      </c>
      <c r="N488" s="284"/>
      <c r="O488" s="284"/>
      <c r="P488" s="284"/>
      <c r="Q488" s="284"/>
      <c r="R488" s="284"/>
      <c r="S488" s="285"/>
      <c r="T488" s="294"/>
      <c r="V488" s="284" t="s">
        <v>3450</v>
      </c>
      <c r="W488" s="284" t="s">
        <v>3451</v>
      </c>
      <c r="X488" s="284" t="s">
        <v>3452</v>
      </c>
      <c r="Y488" s="285">
        <v>58</v>
      </c>
      <c r="Z488" s="285">
        <v>31.03</v>
      </c>
      <c r="AA488" s="285">
        <v>63</v>
      </c>
      <c r="AB488" s="285">
        <v>30.16</v>
      </c>
    </row>
    <row r="489" spans="1:28" s="395" customFormat="1" x14ac:dyDescent="0.25">
      <c r="A489" s="462"/>
      <c r="B489" s="284" t="s">
        <v>504</v>
      </c>
      <c r="C489" s="285">
        <v>16</v>
      </c>
      <c r="D489" s="284">
        <v>28124239</v>
      </c>
      <c r="E489" s="284" t="s">
        <v>43</v>
      </c>
      <c r="F489" s="284" t="s">
        <v>35</v>
      </c>
      <c r="G489" s="294" t="s">
        <v>25</v>
      </c>
      <c r="H489" s="284" t="s">
        <v>776</v>
      </c>
      <c r="I489" s="309" t="s">
        <v>3454</v>
      </c>
      <c r="J489" s="284" t="s">
        <v>3457</v>
      </c>
      <c r="K489" s="284" t="s">
        <v>109</v>
      </c>
      <c r="L489" s="284"/>
      <c r="M489" s="284"/>
      <c r="N489" s="284"/>
      <c r="O489" s="284"/>
      <c r="P489" s="284"/>
      <c r="Q489" s="284"/>
      <c r="R489" s="284"/>
      <c r="S489" s="285"/>
      <c r="T489" s="294" t="s">
        <v>3458</v>
      </c>
      <c r="V489" s="284" t="s">
        <v>1838</v>
      </c>
      <c r="W489" s="284" t="s">
        <v>3455</v>
      </c>
      <c r="X489" s="284" t="s">
        <v>3456</v>
      </c>
      <c r="Y489" s="285">
        <v>78</v>
      </c>
      <c r="Z489" s="285">
        <v>39.74</v>
      </c>
      <c r="AA489" s="285">
        <v>67</v>
      </c>
      <c r="AB489" s="285">
        <v>17.91</v>
      </c>
    </row>
    <row r="490" spans="1:28" s="284" customFormat="1" x14ac:dyDescent="0.25">
      <c r="A490" s="462"/>
      <c r="B490" s="284" t="s">
        <v>504</v>
      </c>
      <c r="C490" s="285">
        <v>16</v>
      </c>
      <c r="D490" s="284">
        <v>31089674</v>
      </c>
      <c r="E490" s="284" t="s">
        <v>23</v>
      </c>
      <c r="F490" s="284" t="s">
        <v>24</v>
      </c>
      <c r="G490" s="294" t="s">
        <v>25</v>
      </c>
      <c r="H490" s="284" t="s">
        <v>26</v>
      </c>
      <c r="I490" s="309" t="s">
        <v>3459</v>
      </c>
      <c r="J490" s="284" t="s">
        <v>3462</v>
      </c>
      <c r="K490" s="284" t="s">
        <v>29</v>
      </c>
      <c r="L490" s="284" t="s">
        <v>30</v>
      </c>
      <c r="M490" s="284" t="s">
        <v>31</v>
      </c>
      <c r="N490" s="284">
        <v>201235047</v>
      </c>
      <c r="Q490" s="284" t="s">
        <v>4180</v>
      </c>
      <c r="R490" s="284" t="s">
        <v>4186</v>
      </c>
      <c r="S490" s="285"/>
      <c r="T490" s="294"/>
      <c r="V490" s="284" t="s">
        <v>1838</v>
      </c>
      <c r="W490" s="284" t="s">
        <v>3460</v>
      </c>
      <c r="X490" s="284" t="s">
        <v>3461</v>
      </c>
      <c r="Y490" s="285">
        <v>78</v>
      </c>
      <c r="Z490" s="285">
        <v>20.51</v>
      </c>
      <c r="AA490" s="285">
        <v>88</v>
      </c>
      <c r="AB490" s="285">
        <v>20.45</v>
      </c>
    </row>
    <row r="491" spans="1:28" s="284" customFormat="1" x14ac:dyDescent="0.25">
      <c r="A491" s="462"/>
      <c r="B491" s="284" t="s">
        <v>504</v>
      </c>
      <c r="C491" s="285">
        <v>17</v>
      </c>
      <c r="D491" s="284">
        <v>33475315</v>
      </c>
      <c r="E491" s="284" t="s">
        <v>43</v>
      </c>
      <c r="F491" s="284" t="s">
        <v>23</v>
      </c>
      <c r="G491" s="294" t="s">
        <v>25</v>
      </c>
      <c r="H491" s="284" t="s">
        <v>26</v>
      </c>
      <c r="I491" s="309" t="s">
        <v>3463</v>
      </c>
      <c r="J491" s="284" t="s">
        <v>3466</v>
      </c>
      <c r="K491" s="284" t="s">
        <v>29</v>
      </c>
      <c r="L491" s="284" t="s">
        <v>39</v>
      </c>
      <c r="M491" s="284" t="s">
        <v>51</v>
      </c>
      <c r="S491" s="285"/>
      <c r="T491" s="294"/>
      <c r="V491" s="284" t="s">
        <v>468</v>
      </c>
      <c r="W491" s="284" t="s">
        <v>3464</v>
      </c>
      <c r="X491" s="284" t="s">
        <v>3465</v>
      </c>
      <c r="Y491" s="285">
        <v>111</v>
      </c>
      <c r="Z491" s="285">
        <v>33.33</v>
      </c>
      <c r="AA491" s="285">
        <v>105</v>
      </c>
      <c r="AB491" s="285">
        <v>23.81</v>
      </c>
    </row>
    <row r="492" spans="1:28" s="284" customFormat="1" x14ac:dyDescent="0.25">
      <c r="A492" s="462"/>
      <c r="B492" s="284" t="s">
        <v>504</v>
      </c>
      <c r="C492" s="285">
        <v>17</v>
      </c>
      <c r="D492" s="284">
        <v>43923897</v>
      </c>
      <c r="E492" s="284" t="s">
        <v>23</v>
      </c>
      <c r="F492" s="284" t="s">
        <v>24</v>
      </c>
      <c r="G492" s="294" t="s">
        <v>25</v>
      </c>
      <c r="H492" s="284" t="s">
        <v>36</v>
      </c>
      <c r="I492" s="309" t="s">
        <v>3467</v>
      </c>
      <c r="J492" s="284" t="s">
        <v>3470</v>
      </c>
      <c r="K492" s="284" t="s">
        <v>29</v>
      </c>
      <c r="L492" s="284" t="s">
        <v>30</v>
      </c>
      <c r="M492" s="284" t="s">
        <v>51</v>
      </c>
      <c r="N492" s="284">
        <v>753862379</v>
      </c>
      <c r="Q492" s="284" t="s">
        <v>4181</v>
      </c>
      <c r="R492" s="284" t="s">
        <v>4181</v>
      </c>
      <c r="S492" s="285"/>
      <c r="T492" s="294"/>
      <c r="V492" s="284" t="s">
        <v>110</v>
      </c>
      <c r="W492" s="284" t="s">
        <v>3468</v>
      </c>
      <c r="X492" s="284" t="s">
        <v>3469</v>
      </c>
      <c r="Y492" s="285">
        <v>105</v>
      </c>
      <c r="Z492" s="285">
        <v>20</v>
      </c>
      <c r="AA492" s="285">
        <v>134</v>
      </c>
      <c r="AB492" s="285">
        <v>8.9600000000000009</v>
      </c>
    </row>
    <row r="493" spans="1:28" s="284" customFormat="1" x14ac:dyDescent="0.25">
      <c r="A493" s="462"/>
      <c r="B493" s="284" t="s">
        <v>504</v>
      </c>
      <c r="C493" s="285">
        <v>17</v>
      </c>
      <c r="D493" s="284">
        <v>61512487</v>
      </c>
      <c r="E493" s="284" t="s">
        <v>23</v>
      </c>
      <c r="F493" s="284" t="s">
        <v>24</v>
      </c>
      <c r="G493" s="294" t="s">
        <v>25</v>
      </c>
      <c r="H493" s="284" t="s">
        <v>589</v>
      </c>
      <c r="I493" s="309" t="s">
        <v>3471</v>
      </c>
      <c r="J493" s="284" t="s">
        <v>3474</v>
      </c>
      <c r="K493" s="284" t="s">
        <v>2681</v>
      </c>
      <c r="L493" s="284" t="s">
        <v>39</v>
      </c>
      <c r="M493" s="284" t="s">
        <v>51</v>
      </c>
      <c r="N493" s="284">
        <v>763576870</v>
      </c>
      <c r="Q493" s="284" t="s">
        <v>4180</v>
      </c>
      <c r="R493" s="284" t="s">
        <v>4186</v>
      </c>
      <c r="S493" s="285"/>
      <c r="T493" s="294">
        <v>982580</v>
      </c>
      <c r="V493" s="284" t="s">
        <v>613</v>
      </c>
      <c r="W493" s="284" t="s">
        <v>3472</v>
      </c>
      <c r="X493" s="284" t="s">
        <v>3473</v>
      </c>
      <c r="Y493" s="285">
        <v>107</v>
      </c>
      <c r="Z493" s="285">
        <v>14.02</v>
      </c>
      <c r="AA493" s="285">
        <v>139</v>
      </c>
      <c r="AB493" s="285">
        <v>12.95</v>
      </c>
    </row>
    <row r="494" spans="1:28" s="284" customFormat="1" x14ac:dyDescent="0.25">
      <c r="A494" s="462"/>
      <c r="B494" s="284" t="s">
        <v>504</v>
      </c>
      <c r="C494" s="285">
        <v>17</v>
      </c>
      <c r="D494" s="284">
        <v>62149386</v>
      </c>
      <c r="E494" s="284" t="s">
        <v>23</v>
      </c>
      <c r="F494" s="284" t="s">
        <v>35</v>
      </c>
      <c r="G494" s="294" t="s">
        <v>25</v>
      </c>
      <c r="H494" s="284" t="s">
        <v>26</v>
      </c>
      <c r="I494" s="309" t="s">
        <v>3475</v>
      </c>
      <c r="J494" s="284" t="s">
        <v>3478</v>
      </c>
      <c r="K494" s="284" t="s">
        <v>29</v>
      </c>
      <c r="L494" s="284" t="s">
        <v>30</v>
      </c>
      <c r="M494" s="284" t="s">
        <v>31</v>
      </c>
      <c r="S494" s="285"/>
      <c r="T494" s="294"/>
      <c r="V494" s="284" t="s">
        <v>613</v>
      </c>
      <c r="W494" s="284" t="s">
        <v>3476</v>
      </c>
      <c r="X494" s="284" t="s">
        <v>3477</v>
      </c>
      <c r="Y494" s="285">
        <v>96</v>
      </c>
      <c r="Z494" s="285">
        <v>17.71</v>
      </c>
      <c r="AA494" s="285">
        <v>97</v>
      </c>
      <c r="AB494" s="285">
        <v>18.559999999999999</v>
      </c>
    </row>
    <row r="495" spans="1:28" s="284" customFormat="1" x14ac:dyDescent="0.25">
      <c r="A495" s="462"/>
      <c r="B495" s="284" t="s">
        <v>504</v>
      </c>
      <c r="C495" s="285">
        <v>17</v>
      </c>
      <c r="D495" s="284">
        <v>80477852</v>
      </c>
      <c r="E495" s="284" t="s">
        <v>24</v>
      </c>
      <c r="F495" s="284" t="s">
        <v>43</v>
      </c>
      <c r="G495" s="294" t="s">
        <v>25</v>
      </c>
      <c r="H495" s="284" t="s">
        <v>26</v>
      </c>
      <c r="I495" s="309" t="s">
        <v>1157</v>
      </c>
      <c r="J495" s="284" t="s">
        <v>3481</v>
      </c>
      <c r="K495" s="284" t="s">
        <v>29</v>
      </c>
      <c r="L495" s="284" t="s">
        <v>39</v>
      </c>
      <c r="M495" s="284" t="s">
        <v>51</v>
      </c>
      <c r="N495" s="284">
        <v>1004399204</v>
      </c>
      <c r="S495" s="285"/>
      <c r="T495" s="294"/>
      <c r="V495" s="284" t="s">
        <v>333</v>
      </c>
      <c r="W495" s="284" t="s">
        <v>3479</v>
      </c>
      <c r="X495" s="284" t="s">
        <v>3480</v>
      </c>
      <c r="Y495" s="285">
        <v>81</v>
      </c>
      <c r="Z495" s="285">
        <v>2</v>
      </c>
      <c r="AA495" s="285">
        <v>71</v>
      </c>
      <c r="AB495" s="285">
        <v>12.68</v>
      </c>
    </row>
    <row r="496" spans="1:28" s="395" customFormat="1" x14ac:dyDescent="0.25">
      <c r="A496" s="462"/>
      <c r="B496" s="284" t="s">
        <v>504</v>
      </c>
      <c r="C496" s="285">
        <v>18</v>
      </c>
      <c r="D496" s="284">
        <v>23806926</v>
      </c>
      <c r="E496" s="284" t="s">
        <v>43</v>
      </c>
      <c r="F496" s="284" t="s">
        <v>24</v>
      </c>
      <c r="G496" s="294" t="s">
        <v>25</v>
      </c>
      <c r="H496" s="284" t="s">
        <v>168</v>
      </c>
      <c r="I496" s="309" t="s">
        <v>3482</v>
      </c>
      <c r="J496" s="284" t="s">
        <v>3485</v>
      </c>
      <c r="K496" s="284" t="s">
        <v>29</v>
      </c>
      <c r="L496" s="284" t="s">
        <v>30</v>
      </c>
      <c r="M496" s="284" t="s">
        <v>31</v>
      </c>
      <c r="N496" s="284"/>
      <c r="O496" s="284"/>
      <c r="P496" s="284"/>
      <c r="Q496" s="284"/>
      <c r="R496" s="284"/>
      <c r="S496" s="285"/>
      <c r="T496" s="294"/>
      <c r="V496" s="284" t="s">
        <v>180</v>
      </c>
      <c r="W496" s="284" t="s">
        <v>3483</v>
      </c>
      <c r="X496" s="284" t="s">
        <v>3484</v>
      </c>
      <c r="Y496" s="285">
        <v>117</v>
      </c>
      <c r="Z496" s="285">
        <v>10.26</v>
      </c>
      <c r="AA496" s="285">
        <v>83</v>
      </c>
      <c r="AB496" s="285">
        <v>22.89</v>
      </c>
    </row>
    <row r="497" spans="1:28" s="395" customFormat="1" x14ac:dyDescent="0.25">
      <c r="A497" s="462"/>
      <c r="B497" s="284" t="s">
        <v>504</v>
      </c>
      <c r="C497" s="285">
        <v>19</v>
      </c>
      <c r="D497" s="284">
        <v>1056466</v>
      </c>
      <c r="E497" s="284" t="s">
        <v>23</v>
      </c>
      <c r="F497" s="284" t="s">
        <v>35</v>
      </c>
      <c r="G497" s="294" t="s">
        <v>25</v>
      </c>
      <c r="H497" s="284" t="s">
        <v>26</v>
      </c>
      <c r="I497" s="309" t="s">
        <v>759</v>
      </c>
      <c r="J497" s="284" t="s">
        <v>3487</v>
      </c>
      <c r="K497" s="284" t="s">
        <v>29</v>
      </c>
      <c r="L497" s="284" t="s">
        <v>30</v>
      </c>
      <c r="M497" s="284" t="s">
        <v>31</v>
      </c>
      <c r="N497" s="284"/>
      <c r="O497" s="284"/>
      <c r="P497" s="284"/>
      <c r="Q497" s="284"/>
      <c r="R497" s="284"/>
      <c r="S497" s="285"/>
      <c r="T497" s="294"/>
      <c r="V497" s="284" t="s">
        <v>120</v>
      </c>
      <c r="W497" s="284" t="s">
        <v>762</v>
      </c>
      <c r="X497" s="284" t="s">
        <v>3486</v>
      </c>
      <c r="Y497" s="285">
        <v>55</v>
      </c>
      <c r="Z497" s="285">
        <v>32.729999999999997</v>
      </c>
      <c r="AA497" s="285">
        <v>36</v>
      </c>
      <c r="AB497" s="285">
        <v>44.44</v>
      </c>
    </row>
    <row r="498" spans="1:28" s="395" customFormat="1" x14ac:dyDescent="0.25">
      <c r="A498" s="462"/>
      <c r="B498" s="284" t="s">
        <v>504</v>
      </c>
      <c r="C498" s="285">
        <v>19</v>
      </c>
      <c r="D498" s="284">
        <v>48343219</v>
      </c>
      <c r="E498" s="284" t="s">
        <v>24</v>
      </c>
      <c r="F498" s="284" t="s">
        <v>35</v>
      </c>
      <c r="G498" s="294" t="s">
        <v>25</v>
      </c>
      <c r="H498" s="284" t="s">
        <v>519</v>
      </c>
      <c r="I498" s="309" t="s">
        <v>3488</v>
      </c>
      <c r="J498" s="284" t="s">
        <v>3491</v>
      </c>
      <c r="K498" s="284" t="s">
        <v>29</v>
      </c>
      <c r="L498" s="284" t="s">
        <v>30</v>
      </c>
      <c r="M498" s="284" t="s">
        <v>56</v>
      </c>
      <c r="N498" s="284"/>
      <c r="O498" s="284"/>
      <c r="P498" s="284"/>
      <c r="Q498" s="284"/>
      <c r="R498" s="284"/>
      <c r="S498" s="285"/>
      <c r="T498" s="294"/>
      <c r="V498" s="284" t="s">
        <v>798</v>
      </c>
      <c r="W498" s="284" t="s">
        <v>3489</v>
      </c>
      <c r="X498" s="284" t="s">
        <v>3490</v>
      </c>
      <c r="Y498" s="285">
        <v>42</v>
      </c>
      <c r="Z498" s="285">
        <v>28.57</v>
      </c>
      <c r="AA498" s="285">
        <v>31</v>
      </c>
      <c r="AB498" s="285">
        <v>38.71</v>
      </c>
    </row>
    <row r="499" spans="1:28" s="284" customFormat="1" x14ac:dyDescent="0.25">
      <c r="A499" s="462"/>
      <c r="B499" s="284" t="s">
        <v>504</v>
      </c>
      <c r="C499" s="285">
        <v>19</v>
      </c>
      <c r="D499" s="284">
        <v>50364717</v>
      </c>
      <c r="E499" s="284" t="s">
        <v>23</v>
      </c>
      <c r="F499" s="284" t="s">
        <v>24</v>
      </c>
      <c r="G499" s="294" t="s">
        <v>25</v>
      </c>
      <c r="H499" s="284" t="s">
        <v>26</v>
      </c>
      <c r="I499" s="309" t="s">
        <v>3492</v>
      </c>
      <c r="J499" s="284" t="s">
        <v>3495</v>
      </c>
      <c r="K499" s="284" t="s">
        <v>29</v>
      </c>
      <c r="L499" s="284" t="s">
        <v>39</v>
      </c>
      <c r="M499" s="284" t="s">
        <v>51</v>
      </c>
      <c r="S499" s="285"/>
      <c r="T499" s="294"/>
      <c r="V499" s="284" t="s">
        <v>798</v>
      </c>
      <c r="W499" s="284" t="s">
        <v>3493</v>
      </c>
      <c r="X499" s="284" t="s">
        <v>3494</v>
      </c>
      <c r="Y499" s="285">
        <v>39</v>
      </c>
      <c r="Z499" s="285">
        <v>51.28</v>
      </c>
      <c r="AA499" s="285">
        <v>41</v>
      </c>
      <c r="AB499" s="285">
        <v>39.020000000000003</v>
      </c>
    </row>
    <row r="500" spans="1:28" s="284" customFormat="1" x14ac:dyDescent="0.25">
      <c r="A500" s="462"/>
      <c r="B500" s="284" t="s">
        <v>504</v>
      </c>
      <c r="C500" s="285">
        <v>20</v>
      </c>
      <c r="D500" s="284">
        <v>13260406</v>
      </c>
      <c r="E500" s="284" t="s">
        <v>43</v>
      </c>
      <c r="F500" s="284" t="s">
        <v>23</v>
      </c>
      <c r="G500" s="294" t="s">
        <v>25</v>
      </c>
      <c r="H500" s="284" t="s">
        <v>26</v>
      </c>
      <c r="I500" s="309" t="s">
        <v>3496</v>
      </c>
      <c r="J500" s="284" t="s">
        <v>3499</v>
      </c>
      <c r="K500" s="284" t="s">
        <v>29</v>
      </c>
      <c r="L500" s="284" t="s">
        <v>39</v>
      </c>
      <c r="M500" s="284" t="s">
        <v>51</v>
      </c>
      <c r="N500" s="284">
        <v>781354743</v>
      </c>
      <c r="S500" s="285"/>
      <c r="T500" s="294"/>
      <c r="V500" s="284" t="s">
        <v>136</v>
      </c>
      <c r="W500" s="284" t="s">
        <v>3497</v>
      </c>
      <c r="X500" s="284" t="s">
        <v>3498</v>
      </c>
      <c r="Y500" s="285">
        <v>72</v>
      </c>
      <c r="Z500" s="285">
        <v>22.22</v>
      </c>
      <c r="AA500" s="285">
        <v>78</v>
      </c>
      <c r="AB500" s="285">
        <v>23.08</v>
      </c>
    </row>
    <row r="501" spans="1:28" s="395" customFormat="1" x14ac:dyDescent="0.25">
      <c r="A501" s="462"/>
      <c r="B501" s="284" t="s">
        <v>504</v>
      </c>
      <c r="C501" s="285">
        <v>21</v>
      </c>
      <c r="D501" s="284">
        <v>45959684</v>
      </c>
      <c r="E501" s="284" t="s">
        <v>24</v>
      </c>
      <c r="F501" s="284" t="s">
        <v>23</v>
      </c>
      <c r="G501" s="294" t="s">
        <v>25</v>
      </c>
      <c r="H501" s="284" t="s">
        <v>589</v>
      </c>
      <c r="I501" s="309" t="s">
        <v>3500</v>
      </c>
      <c r="J501" s="284" t="s">
        <v>3503</v>
      </c>
      <c r="K501" s="284" t="s">
        <v>29</v>
      </c>
      <c r="L501" s="284" t="s">
        <v>39</v>
      </c>
      <c r="M501" s="284" t="s">
        <v>51</v>
      </c>
      <c r="N501" s="284"/>
      <c r="O501" s="284"/>
      <c r="P501" s="284"/>
      <c r="Q501" s="284"/>
      <c r="R501" s="284"/>
      <c r="S501" s="285"/>
      <c r="T501" s="294"/>
      <c r="V501" s="284" t="s">
        <v>376</v>
      </c>
      <c r="W501" s="284" t="s">
        <v>3501</v>
      </c>
      <c r="X501" s="284" t="s">
        <v>3502</v>
      </c>
      <c r="Y501" s="285">
        <v>49</v>
      </c>
      <c r="Z501" s="285">
        <v>30.61</v>
      </c>
      <c r="AA501" s="285">
        <v>22</v>
      </c>
      <c r="AB501" s="285">
        <v>40.909999999999997</v>
      </c>
    </row>
    <row r="502" spans="1:28" s="395" customFormat="1" x14ac:dyDescent="0.25">
      <c r="A502" s="462"/>
      <c r="B502" s="284" t="s">
        <v>504</v>
      </c>
      <c r="C502" s="285">
        <v>22</v>
      </c>
      <c r="D502" s="284">
        <v>21983020</v>
      </c>
      <c r="E502" s="284" t="s">
        <v>23</v>
      </c>
      <c r="F502" s="284" t="s">
        <v>24</v>
      </c>
      <c r="G502" s="294" t="s">
        <v>25</v>
      </c>
      <c r="H502" s="284" t="s">
        <v>519</v>
      </c>
      <c r="I502" s="309" t="s">
        <v>3504</v>
      </c>
      <c r="J502" s="284" t="s">
        <v>3507</v>
      </c>
      <c r="K502" s="284" t="s">
        <v>29</v>
      </c>
      <c r="L502" s="284" t="s">
        <v>39</v>
      </c>
      <c r="M502" s="284" t="s">
        <v>51</v>
      </c>
      <c r="N502" s="284"/>
      <c r="O502" s="284"/>
      <c r="P502" s="284"/>
      <c r="Q502" s="284"/>
      <c r="R502" s="284"/>
      <c r="S502" s="285"/>
      <c r="T502" s="294"/>
      <c r="V502" s="284" t="s">
        <v>259</v>
      </c>
      <c r="W502" s="284" t="s">
        <v>3505</v>
      </c>
      <c r="X502" s="284" t="s">
        <v>3506</v>
      </c>
      <c r="Y502" s="285">
        <v>76</v>
      </c>
      <c r="Z502" s="285">
        <v>28.95</v>
      </c>
      <c r="AA502" s="285">
        <v>85</v>
      </c>
      <c r="AB502" s="285">
        <v>18.82</v>
      </c>
    </row>
    <row r="503" spans="1:28" s="284" customFormat="1" x14ac:dyDescent="0.25">
      <c r="A503" s="462"/>
      <c r="B503" s="284" t="s">
        <v>504</v>
      </c>
      <c r="C503" s="285" t="s">
        <v>379</v>
      </c>
      <c r="D503" s="284">
        <v>55033775</v>
      </c>
      <c r="E503" s="284" t="s">
        <v>43</v>
      </c>
      <c r="F503" s="284" t="s">
        <v>23</v>
      </c>
      <c r="G503" s="294" t="s">
        <v>25</v>
      </c>
      <c r="H503" s="284" t="s">
        <v>26</v>
      </c>
      <c r="I503" s="309" t="s">
        <v>3508</v>
      </c>
      <c r="J503" s="284" t="s">
        <v>3511</v>
      </c>
      <c r="K503" s="284" t="s">
        <v>29</v>
      </c>
      <c r="L503" s="284" t="s">
        <v>39</v>
      </c>
      <c r="S503" s="285"/>
      <c r="T503" s="294"/>
      <c r="V503" s="284" t="s">
        <v>428</v>
      </c>
      <c r="W503" s="284" t="s">
        <v>3509</v>
      </c>
      <c r="X503" s="284" t="s">
        <v>3510</v>
      </c>
      <c r="Y503" s="285">
        <v>45</v>
      </c>
      <c r="Z503" s="285">
        <v>40</v>
      </c>
      <c r="AA503" s="285">
        <v>39</v>
      </c>
      <c r="AB503" s="285">
        <v>48.72</v>
      </c>
    </row>
    <row r="504" spans="1:28" s="295" customFormat="1" x14ac:dyDescent="0.25">
      <c r="A504" s="462"/>
      <c r="B504" s="295" t="s">
        <v>153</v>
      </c>
      <c r="C504" s="296">
        <v>1</v>
      </c>
      <c r="D504" s="295">
        <v>9009345</v>
      </c>
      <c r="E504" s="295" t="s">
        <v>24</v>
      </c>
      <c r="F504" s="295" t="s">
        <v>35</v>
      </c>
      <c r="G504" s="298" t="s">
        <v>25</v>
      </c>
      <c r="H504" s="295" t="s">
        <v>589</v>
      </c>
      <c r="I504" s="310" t="s">
        <v>3513</v>
      </c>
      <c r="J504" s="295" t="s">
        <v>3516</v>
      </c>
      <c r="K504" s="295" t="s">
        <v>29</v>
      </c>
      <c r="L504" s="295" t="s">
        <v>30</v>
      </c>
      <c r="M504" s="295" t="s">
        <v>56</v>
      </c>
      <c r="S504" s="296"/>
      <c r="T504" s="298"/>
      <c r="V504" s="295" t="s">
        <v>3512</v>
      </c>
      <c r="W504" s="295" t="s">
        <v>3514</v>
      </c>
      <c r="X504" s="295" t="s">
        <v>3515</v>
      </c>
      <c r="Y504" s="296">
        <v>56</v>
      </c>
      <c r="Z504" s="296">
        <v>0</v>
      </c>
      <c r="AA504" s="296">
        <v>52</v>
      </c>
      <c r="AB504" s="299">
        <v>26.92</v>
      </c>
    </row>
    <row r="505" spans="1:28" s="295" customFormat="1" x14ac:dyDescent="0.25">
      <c r="A505" s="462"/>
      <c r="B505" s="295" t="s">
        <v>153</v>
      </c>
      <c r="C505" s="296">
        <v>1</v>
      </c>
      <c r="D505" s="295">
        <v>38167434</v>
      </c>
      <c r="E505" s="295" t="s">
        <v>43</v>
      </c>
      <c r="F505" s="295" t="s">
        <v>24</v>
      </c>
      <c r="G505" s="298" t="s">
        <v>25</v>
      </c>
      <c r="H505" s="295" t="s">
        <v>26</v>
      </c>
      <c r="I505" s="310" t="s">
        <v>3517</v>
      </c>
      <c r="J505" s="295" t="s">
        <v>3520</v>
      </c>
      <c r="K505" s="295" t="s">
        <v>29</v>
      </c>
      <c r="L505" s="295" t="s">
        <v>30</v>
      </c>
      <c r="M505" s="295" t="s">
        <v>51</v>
      </c>
      <c r="S505" s="296"/>
      <c r="T505" s="298"/>
      <c r="V505" s="295" t="s">
        <v>883</v>
      </c>
      <c r="W505" s="295" t="s">
        <v>3518</v>
      </c>
      <c r="X505" s="295" t="s">
        <v>3519</v>
      </c>
      <c r="Y505" s="296">
        <v>75</v>
      </c>
      <c r="Z505" s="296">
        <v>0</v>
      </c>
      <c r="AA505" s="296">
        <v>85</v>
      </c>
      <c r="AB505" s="299">
        <v>20</v>
      </c>
    </row>
    <row r="506" spans="1:28" s="396" customFormat="1" x14ac:dyDescent="0.25">
      <c r="A506" s="462"/>
      <c r="B506" s="295" t="s">
        <v>153</v>
      </c>
      <c r="C506" s="296">
        <v>1</v>
      </c>
      <c r="D506" s="295">
        <v>47611757</v>
      </c>
      <c r="E506" s="295" t="s">
        <v>23</v>
      </c>
      <c r="F506" s="295" t="s">
        <v>35</v>
      </c>
      <c r="G506" s="298" t="s">
        <v>25</v>
      </c>
      <c r="H506" s="295" t="s">
        <v>589</v>
      </c>
      <c r="I506" s="310" t="s">
        <v>3522</v>
      </c>
      <c r="J506" s="295" t="s">
        <v>3525</v>
      </c>
      <c r="K506" s="295" t="s">
        <v>29</v>
      </c>
      <c r="L506" s="295" t="s">
        <v>30</v>
      </c>
      <c r="M506" s="295" t="s">
        <v>31</v>
      </c>
      <c r="N506" s="295">
        <v>780837392</v>
      </c>
      <c r="O506" s="295"/>
      <c r="P506" s="295"/>
      <c r="Q506" s="295" t="s">
        <v>4181</v>
      </c>
      <c r="R506" s="295"/>
      <c r="S506" s="296"/>
      <c r="T506" s="298"/>
      <c r="V506" s="295" t="s">
        <v>3521</v>
      </c>
      <c r="W506" s="295" t="s">
        <v>3523</v>
      </c>
      <c r="X506" s="295" t="s">
        <v>3524</v>
      </c>
      <c r="Y506" s="296">
        <v>81</v>
      </c>
      <c r="Z506" s="296">
        <v>0</v>
      </c>
      <c r="AA506" s="296">
        <v>100</v>
      </c>
      <c r="AB506" s="299">
        <v>19</v>
      </c>
    </row>
    <row r="507" spans="1:28" s="295" customFormat="1" x14ac:dyDescent="0.25">
      <c r="A507" s="462"/>
      <c r="B507" s="295" t="s">
        <v>153</v>
      </c>
      <c r="C507" s="296">
        <v>1</v>
      </c>
      <c r="D507" s="295">
        <v>48460232</v>
      </c>
      <c r="E507" s="295" t="s">
        <v>23</v>
      </c>
      <c r="F507" s="295" t="s">
        <v>24</v>
      </c>
      <c r="G507" s="298" t="s">
        <v>25</v>
      </c>
      <c r="H507" s="295" t="s">
        <v>26</v>
      </c>
      <c r="I507" s="310" t="s">
        <v>3526</v>
      </c>
      <c r="J507" s="295" t="s">
        <v>3529</v>
      </c>
      <c r="K507" s="295" t="s">
        <v>29</v>
      </c>
      <c r="L507" s="295" t="s">
        <v>30</v>
      </c>
      <c r="S507" s="296"/>
      <c r="T507" s="298"/>
      <c r="V507" s="295" t="s">
        <v>3521</v>
      </c>
      <c r="W507" s="295" t="s">
        <v>3527</v>
      </c>
      <c r="X507" s="295" t="s">
        <v>3528</v>
      </c>
      <c r="Y507" s="296">
        <v>115</v>
      </c>
      <c r="Z507" s="296">
        <v>0</v>
      </c>
      <c r="AA507" s="296">
        <v>113</v>
      </c>
      <c r="AB507" s="299">
        <v>18.579999999999998</v>
      </c>
    </row>
    <row r="508" spans="1:28" s="295" customFormat="1" x14ac:dyDescent="0.25">
      <c r="A508" s="462"/>
      <c r="B508" s="295" t="s">
        <v>153</v>
      </c>
      <c r="C508" s="296">
        <v>1</v>
      </c>
      <c r="D508" s="295">
        <v>94654494</v>
      </c>
      <c r="E508" s="295" t="s">
        <v>43</v>
      </c>
      <c r="F508" s="295" t="s">
        <v>23</v>
      </c>
      <c r="G508" s="298" t="s">
        <v>25</v>
      </c>
      <c r="H508" s="295" t="s">
        <v>26</v>
      </c>
      <c r="I508" s="310" t="s">
        <v>3530</v>
      </c>
      <c r="J508" s="295" t="s">
        <v>3533</v>
      </c>
      <c r="K508" s="295" t="s">
        <v>29</v>
      </c>
      <c r="L508" s="295" t="s">
        <v>39</v>
      </c>
      <c r="M508" s="295" t="s">
        <v>31</v>
      </c>
      <c r="N508" s="295">
        <v>749955367</v>
      </c>
      <c r="Q508" s="295" t="s">
        <v>4180</v>
      </c>
      <c r="S508" s="296"/>
      <c r="T508" s="298"/>
      <c r="V508" s="295" t="s">
        <v>223</v>
      </c>
      <c r="W508" s="295" t="s">
        <v>3531</v>
      </c>
      <c r="X508" s="295" t="s">
        <v>3532</v>
      </c>
      <c r="Y508" s="296">
        <v>81</v>
      </c>
      <c r="Z508" s="296">
        <v>0</v>
      </c>
      <c r="AA508" s="296">
        <v>83</v>
      </c>
      <c r="AB508" s="299">
        <v>21.69</v>
      </c>
    </row>
    <row r="509" spans="1:28" s="397" customFormat="1" x14ac:dyDescent="0.25">
      <c r="A509" s="462"/>
      <c r="B509" s="295" t="s">
        <v>153</v>
      </c>
      <c r="C509" s="296">
        <v>1</v>
      </c>
      <c r="D509" s="295">
        <v>151288233</v>
      </c>
      <c r="E509" s="295" t="s">
        <v>43</v>
      </c>
      <c r="F509" s="295" t="s">
        <v>23</v>
      </c>
      <c r="G509" s="298" t="s">
        <v>25</v>
      </c>
      <c r="H509" s="295" t="s">
        <v>589</v>
      </c>
      <c r="I509" s="310" t="s">
        <v>3534</v>
      </c>
      <c r="J509" s="295" t="s">
        <v>3537</v>
      </c>
      <c r="K509" s="295" t="s">
        <v>109</v>
      </c>
      <c r="L509" s="295"/>
      <c r="M509" s="295"/>
      <c r="N509" s="295"/>
      <c r="O509" s="295"/>
      <c r="P509" s="295"/>
      <c r="Q509" s="295"/>
      <c r="R509" s="295"/>
      <c r="S509" s="296"/>
      <c r="T509" s="298"/>
      <c r="V509" s="295" t="s">
        <v>98</v>
      </c>
      <c r="W509" s="295" t="s">
        <v>3535</v>
      </c>
      <c r="X509" s="295" t="s">
        <v>3536</v>
      </c>
      <c r="Y509" s="296">
        <v>104</v>
      </c>
      <c r="Z509" s="296">
        <v>0</v>
      </c>
      <c r="AA509" s="296">
        <v>84</v>
      </c>
      <c r="AB509" s="299">
        <v>23.81</v>
      </c>
    </row>
    <row r="510" spans="1:28" s="295" customFormat="1" x14ac:dyDescent="0.25">
      <c r="A510" s="462"/>
      <c r="B510" s="295" t="s">
        <v>153</v>
      </c>
      <c r="C510" s="296">
        <v>1</v>
      </c>
      <c r="D510" s="295">
        <v>152005271</v>
      </c>
      <c r="E510" s="295" t="s">
        <v>23</v>
      </c>
      <c r="F510" s="295" t="s">
        <v>24</v>
      </c>
      <c r="G510" s="298" t="s">
        <v>25</v>
      </c>
      <c r="H510" s="295" t="s">
        <v>36</v>
      </c>
      <c r="I510" s="310" t="s">
        <v>3538</v>
      </c>
      <c r="J510" s="295" t="s">
        <v>3541</v>
      </c>
      <c r="K510" s="295" t="s">
        <v>29</v>
      </c>
      <c r="L510" s="295" t="s">
        <v>39</v>
      </c>
      <c r="M510" s="295" t="s">
        <v>51</v>
      </c>
      <c r="N510" s="295">
        <v>746862693</v>
      </c>
      <c r="Q510" s="295" t="s">
        <v>4180</v>
      </c>
      <c r="R510" s="295" t="s">
        <v>4186</v>
      </c>
      <c r="S510" s="296"/>
      <c r="T510" s="298"/>
      <c r="V510" s="295" t="s">
        <v>98</v>
      </c>
      <c r="W510" s="295" t="s">
        <v>3539</v>
      </c>
      <c r="X510" s="295" t="s">
        <v>3540</v>
      </c>
      <c r="Y510" s="296">
        <v>103</v>
      </c>
      <c r="Z510" s="296">
        <v>0</v>
      </c>
      <c r="AA510" s="296">
        <v>106</v>
      </c>
      <c r="AB510" s="299">
        <v>18.87</v>
      </c>
    </row>
    <row r="511" spans="1:28" s="295" customFormat="1" x14ac:dyDescent="0.25">
      <c r="A511" s="462"/>
      <c r="B511" s="295" t="s">
        <v>153</v>
      </c>
      <c r="C511" s="296">
        <v>1</v>
      </c>
      <c r="D511" s="295">
        <v>154145417</v>
      </c>
      <c r="E511" s="295" t="s">
        <v>24</v>
      </c>
      <c r="F511" s="295" t="s">
        <v>43</v>
      </c>
      <c r="G511" s="298" t="s">
        <v>25</v>
      </c>
      <c r="H511" s="295" t="s">
        <v>168</v>
      </c>
      <c r="I511" s="310" t="s">
        <v>3218</v>
      </c>
      <c r="J511" s="295" t="s">
        <v>3544</v>
      </c>
      <c r="K511" s="295" t="s">
        <v>29</v>
      </c>
      <c r="L511" s="295" t="s">
        <v>39</v>
      </c>
      <c r="M511" s="295" t="s">
        <v>31</v>
      </c>
      <c r="S511" s="296"/>
      <c r="T511" s="298"/>
      <c r="V511" s="295" t="s">
        <v>98</v>
      </c>
      <c r="W511" s="295" t="s">
        <v>3542</v>
      </c>
      <c r="X511" s="295" t="s">
        <v>3543</v>
      </c>
      <c r="Y511" s="296">
        <v>75</v>
      </c>
      <c r="Z511" s="296">
        <v>0</v>
      </c>
      <c r="AA511" s="296">
        <v>80</v>
      </c>
      <c r="AB511" s="299">
        <v>28.75</v>
      </c>
    </row>
    <row r="512" spans="1:28" s="295" customFormat="1" x14ac:dyDescent="0.25">
      <c r="A512" s="462"/>
      <c r="B512" s="295" t="s">
        <v>153</v>
      </c>
      <c r="C512" s="296">
        <v>1</v>
      </c>
      <c r="D512" s="295">
        <v>205810953</v>
      </c>
      <c r="E512" s="295" t="s">
        <v>24</v>
      </c>
      <c r="F512" s="295" t="s">
        <v>35</v>
      </c>
      <c r="G512" s="298" t="s">
        <v>25</v>
      </c>
      <c r="H512" s="295" t="s">
        <v>73</v>
      </c>
      <c r="I512" s="310" t="s">
        <v>3545</v>
      </c>
      <c r="J512" s="295" t="s">
        <v>3548</v>
      </c>
      <c r="K512" s="295" t="s">
        <v>109</v>
      </c>
      <c r="S512" s="296"/>
      <c r="T512" s="298"/>
      <c r="V512" s="295" t="s">
        <v>562</v>
      </c>
      <c r="W512" s="295" t="s">
        <v>3546</v>
      </c>
      <c r="X512" s="295" t="s">
        <v>3547</v>
      </c>
      <c r="Y512" s="296">
        <v>81</v>
      </c>
      <c r="Z512" s="296">
        <v>0</v>
      </c>
      <c r="AA512" s="296">
        <v>97</v>
      </c>
      <c r="AB512" s="299">
        <v>21.65</v>
      </c>
    </row>
    <row r="513" spans="1:28" s="295" customFormat="1" x14ac:dyDescent="0.25">
      <c r="A513" s="462"/>
      <c r="B513" s="295" t="s">
        <v>153</v>
      </c>
      <c r="C513" s="296">
        <v>2</v>
      </c>
      <c r="D513" s="295">
        <v>44428953</v>
      </c>
      <c r="E513" s="295" t="s">
        <v>24</v>
      </c>
      <c r="F513" s="295" t="s">
        <v>35</v>
      </c>
      <c r="G513" s="298" t="s">
        <v>25</v>
      </c>
      <c r="H513" s="295" t="s">
        <v>589</v>
      </c>
      <c r="I513" s="310" t="s">
        <v>3550</v>
      </c>
      <c r="J513" s="295" t="s">
        <v>3553</v>
      </c>
      <c r="K513" s="295" t="s">
        <v>109</v>
      </c>
      <c r="S513" s="296"/>
      <c r="T513" s="298"/>
      <c r="V513" s="295" t="s">
        <v>3549</v>
      </c>
      <c r="W513" s="295" t="s">
        <v>3551</v>
      </c>
      <c r="X513" s="295" t="s">
        <v>3552</v>
      </c>
      <c r="Y513" s="296">
        <v>54</v>
      </c>
      <c r="Z513" s="296">
        <v>0</v>
      </c>
      <c r="AA513" s="296">
        <v>63</v>
      </c>
      <c r="AB513" s="299">
        <v>31.75</v>
      </c>
    </row>
    <row r="514" spans="1:28" s="295" customFormat="1" x14ac:dyDescent="0.25">
      <c r="A514" s="462"/>
      <c r="B514" s="295" t="s">
        <v>153</v>
      </c>
      <c r="C514" s="296">
        <v>2</v>
      </c>
      <c r="D514" s="295">
        <v>149216356</v>
      </c>
      <c r="E514" s="295" t="s">
        <v>43</v>
      </c>
      <c r="F514" s="295" t="s">
        <v>35</v>
      </c>
      <c r="G514" s="298" t="s">
        <v>25</v>
      </c>
      <c r="H514" s="295" t="s">
        <v>26</v>
      </c>
      <c r="I514" s="310" t="s">
        <v>3554</v>
      </c>
      <c r="J514" s="295" t="s">
        <v>3557</v>
      </c>
      <c r="K514" s="295" t="s">
        <v>29</v>
      </c>
      <c r="M514" s="295" t="s">
        <v>51</v>
      </c>
      <c r="S514" s="296"/>
      <c r="T514" s="298"/>
      <c r="V514" s="295" t="s">
        <v>165</v>
      </c>
      <c r="W514" s="295" t="s">
        <v>3555</v>
      </c>
      <c r="X514" s="295" t="s">
        <v>3556</v>
      </c>
      <c r="Y514" s="296">
        <v>70</v>
      </c>
      <c r="Z514" s="296">
        <v>0</v>
      </c>
      <c r="AA514" s="296">
        <v>78</v>
      </c>
      <c r="AB514" s="299">
        <v>28.21</v>
      </c>
    </row>
    <row r="515" spans="1:28" s="295" customFormat="1" x14ac:dyDescent="0.25">
      <c r="A515" s="462"/>
      <c r="B515" s="295" t="s">
        <v>153</v>
      </c>
      <c r="C515" s="296">
        <v>2</v>
      </c>
      <c r="D515" s="295">
        <v>220167354</v>
      </c>
      <c r="E515" s="295" t="s">
        <v>43</v>
      </c>
      <c r="F515" s="295" t="s">
        <v>35</v>
      </c>
      <c r="G515" s="298" t="s">
        <v>25</v>
      </c>
      <c r="H515" s="295" t="s">
        <v>589</v>
      </c>
      <c r="I515" s="310" t="s">
        <v>3558</v>
      </c>
      <c r="J515" s="295" t="s">
        <v>3561</v>
      </c>
      <c r="K515" s="295" t="s">
        <v>29</v>
      </c>
      <c r="L515" s="295" t="s">
        <v>39</v>
      </c>
      <c r="M515" s="295" t="s">
        <v>56</v>
      </c>
      <c r="N515" s="295">
        <v>770554486</v>
      </c>
      <c r="Q515" s="295" t="s">
        <v>4181</v>
      </c>
      <c r="S515" s="296"/>
      <c r="T515" s="298"/>
      <c r="V515" s="295" t="s">
        <v>579</v>
      </c>
      <c r="W515" s="295" t="s">
        <v>3559</v>
      </c>
      <c r="X515" s="295" t="s">
        <v>3560</v>
      </c>
      <c r="Y515" s="296">
        <v>82</v>
      </c>
      <c r="Z515" s="296">
        <v>0</v>
      </c>
      <c r="AA515" s="296">
        <v>56</v>
      </c>
      <c r="AB515" s="299">
        <v>16.07</v>
      </c>
    </row>
    <row r="516" spans="1:28" s="295" customFormat="1" x14ac:dyDescent="0.25">
      <c r="A516" s="462"/>
      <c r="B516" s="295" t="s">
        <v>153</v>
      </c>
      <c r="C516" s="296">
        <v>2</v>
      </c>
      <c r="D516" s="295">
        <v>233386124</v>
      </c>
      <c r="E516" s="295" t="s">
        <v>23</v>
      </c>
      <c r="F516" s="295" t="s">
        <v>35</v>
      </c>
      <c r="G516" s="298" t="s">
        <v>25</v>
      </c>
      <c r="H516" s="295" t="s">
        <v>26</v>
      </c>
      <c r="I516" s="310" t="s">
        <v>3562</v>
      </c>
      <c r="J516" s="295" t="s">
        <v>3565</v>
      </c>
      <c r="K516" s="295" t="s">
        <v>109</v>
      </c>
      <c r="S516" s="296"/>
      <c r="T516" s="298"/>
      <c r="V516" s="295" t="s">
        <v>1738</v>
      </c>
      <c r="W516" s="295" t="s">
        <v>3563</v>
      </c>
      <c r="X516" s="295" t="s">
        <v>3564</v>
      </c>
      <c r="Y516" s="296">
        <v>73</v>
      </c>
      <c r="Z516" s="296">
        <v>0</v>
      </c>
      <c r="AA516" s="296">
        <v>84</v>
      </c>
      <c r="AB516" s="299">
        <v>9.52</v>
      </c>
    </row>
    <row r="517" spans="1:28" s="295" customFormat="1" x14ac:dyDescent="0.25">
      <c r="A517" s="462"/>
      <c r="B517" s="295" t="s">
        <v>153</v>
      </c>
      <c r="C517" s="296">
        <v>2</v>
      </c>
      <c r="D517" s="295">
        <v>233414498</v>
      </c>
      <c r="E517" s="295" t="s">
        <v>43</v>
      </c>
      <c r="F517" s="295" t="s">
        <v>23</v>
      </c>
      <c r="G517" s="298" t="s">
        <v>25</v>
      </c>
      <c r="H517" s="295" t="s">
        <v>776</v>
      </c>
      <c r="I517" s="310" t="s">
        <v>3566</v>
      </c>
      <c r="J517" s="295" t="s">
        <v>3569</v>
      </c>
      <c r="K517" s="295" t="s">
        <v>109</v>
      </c>
      <c r="S517" s="296"/>
      <c r="T517" s="298"/>
      <c r="V517" s="295" t="s">
        <v>1738</v>
      </c>
      <c r="W517" s="295" t="s">
        <v>3567</v>
      </c>
      <c r="X517" s="295" t="s">
        <v>3568</v>
      </c>
      <c r="Y517" s="296">
        <v>76</v>
      </c>
      <c r="Z517" s="296">
        <v>0</v>
      </c>
      <c r="AA517" s="296">
        <v>83</v>
      </c>
      <c r="AB517" s="299">
        <v>27.71</v>
      </c>
    </row>
    <row r="518" spans="1:28" s="295" customFormat="1" x14ac:dyDescent="0.25">
      <c r="A518" s="462"/>
      <c r="B518" s="295" t="s">
        <v>153</v>
      </c>
      <c r="C518" s="296">
        <v>3</v>
      </c>
      <c r="D518" s="295">
        <v>122255009</v>
      </c>
      <c r="E518" s="295" t="s">
        <v>35</v>
      </c>
      <c r="F518" s="295" t="s">
        <v>23</v>
      </c>
      <c r="G518" s="298" t="s">
        <v>25</v>
      </c>
      <c r="H518" s="295" t="s">
        <v>589</v>
      </c>
      <c r="I518" s="310" t="s">
        <v>3570</v>
      </c>
      <c r="J518" s="295" t="s">
        <v>3573</v>
      </c>
      <c r="K518" s="295" t="s">
        <v>29</v>
      </c>
      <c r="M518" s="295" t="s">
        <v>51</v>
      </c>
      <c r="S518" s="296"/>
      <c r="T518" s="298"/>
      <c r="V518" s="295" t="s">
        <v>752</v>
      </c>
      <c r="W518" s="295" t="s">
        <v>3571</v>
      </c>
      <c r="X518" s="295" t="s">
        <v>3572</v>
      </c>
      <c r="Y518" s="296">
        <v>53</v>
      </c>
      <c r="Z518" s="296">
        <v>0</v>
      </c>
      <c r="AA518" s="296">
        <v>54</v>
      </c>
      <c r="AB518" s="299">
        <v>27.78</v>
      </c>
    </row>
    <row r="519" spans="1:28" s="295" customFormat="1" x14ac:dyDescent="0.25">
      <c r="A519" s="462"/>
      <c r="B519" s="295" t="s">
        <v>153</v>
      </c>
      <c r="C519" s="296">
        <v>3</v>
      </c>
      <c r="D519" s="295">
        <v>153935715</v>
      </c>
      <c r="E519" s="295" t="s">
        <v>35</v>
      </c>
      <c r="F519" s="295" t="s">
        <v>23</v>
      </c>
      <c r="G519" s="298" t="s">
        <v>25</v>
      </c>
      <c r="H519" s="295" t="s">
        <v>589</v>
      </c>
      <c r="I519" s="310" t="s">
        <v>3574</v>
      </c>
      <c r="J519" s="295" t="s">
        <v>3577</v>
      </c>
      <c r="K519" s="295" t="s">
        <v>29</v>
      </c>
      <c r="L519" s="295" t="s">
        <v>30</v>
      </c>
      <c r="M519" s="295" t="s">
        <v>56</v>
      </c>
      <c r="S519" s="296"/>
      <c r="T519" s="298"/>
      <c r="V519" s="295" t="s">
        <v>557</v>
      </c>
      <c r="W519" s="295" t="s">
        <v>3575</v>
      </c>
      <c r="X519" s="295" t="s">
        <v>3576</v>
      </c>
      <c r="Y519" s="296">
        <v>40</v>
      </c>
      <c r="Z519" s="296">
        <v>0</v>
      </c>
      <c r="AA519" s="296">
        <v>63</v>
      </c>
      <c r="AB519" s="299">
        <v>33.33</v>
      </c>
    </row>
    <row r="520" spans="1:28" s="295" customFormat="1" x14ac:dyDescent="0.25">
      <c r="A520" s="462"/>
      <c r="B520" s="295" t="s">
        <v>153</v>
      </c>
      <c r="C520" s="296">
        <v>6</v>
      </c>
      <c r="D520" s="295">
        <v>87966052</v>
      </c>
      <c r="E520" s="295" t="s">
        <v>35</v>
      </c>
      <c r="F520" s="295" t="s">
        <v>24</v>
      </c>
      <c r="G520" s="298" t="s">
        <v>25</v>
      </c>
      <c r="H520" s="295" t="s">
        <v>26</v>
      </c>
      <c r="I520" s="310" t="s">
        <v>3578</v>
      </c>
      <c r="J520" s="295" t="s">
        <v>3581</v>
      </c>
      <c r="K520" s="295" t="s">
        <v>29</v>
      </c>
      <c r="L520" s="295" t="s">
        <v>39</v>
      </c>
      <c r="M520" s="295" t="s">
        <v>51</v>
      </c>
      <c r="S520" s="296"/>
      <c r="T520" s="298"/>
      <c r="V520" s="295" t="s">
        <v>185</v>
      </c>
      <c r="W520" s="295" t="s">
        <v>3579</v>
      </c>
      <c r="X520" s="295" t="s">
        <v>3580</v>
      </c>
      <c r="Y520" s="296">
        <v>57</v>
      </c>
      <c r="Z520" s="296">
        <v>0</v>
      </c>
      <c r="AA520" s="296">
        <v>87</v>
      </c>
      <c r="AB520" s="299">
        <v>28.74</v>
      </c>
    </row>
    <row r="521" spans="1:28" s="295" customFormat="1" x14ac:dyDescent="0.25">
      <c r="A521" s="462"/>
      <c r="B521" s="295" t="s">
        <v>153</v>
      </c>
      <c r="C521" s="296">
        <v>7</v>
      </c>
      <c r="D521" s="295">
        <v>135242721</v>
      </c>
      <c r="E521" s="295" t="s">
        <v>43</v>
      </c>
      <c r="F521" s="295" t="s">
        <v>24</v>
      </c>
      <c r="G521" s="298" t="s">
        <v>25</v>
      </c>
      <c r="H521" s="295" t="s">
        <v>542</v>
      </c>
      <c r="I521" s="310" t="s">
        <v>3582</v>
      </c>
      <c r="K521" s="295" t="s">
        <v>485</v>
      </c>
      <c r="S521" s="296"/>
      <c r="T521" s="298"/>
      <c r="V521" s="295" t="s">
        <v>243</v>
      </c>
      <c r="W521" s="295" t="s">
        <v>3583</v>
      </c>
      <c r="X521" s="295" t="s">
        <v>3584</v>
      </c>
      <c r="Y521" s="296">
        <v>100</v>
      </c>
      <c r="Z521" s="296">
        <v>0</v>
      </c>
      <c r="AA521" s="296">
        <v>103</v>
      </c>
      <c r="AB521" s="299">
        <v>20.39</v>
      </c>
    </row>
    <row r="522" spans="1:28" s="396" customFormat="1" x14ac:dyDescent="0.25">
      <c r="A522" s="462"/>
      <c r="B522" s="295" t="s">
        <v>153</v>
      </c>
      <c r="C522" s="296">
        <v>8</v>
      </c>
      <c r="D522" s="295">
        <v>110439284</v>
      </c>
      <c r="E522" s="295" t="s">
        <v>43</v>
      </c>
      <c r="F522" s="295" t="s">
        <v>24</v>
      </c>
      <c r="G522" s="298" t="s">
        <v>25</v>
      </c>
      <c r="H522" s="295" t="s">
        <v>26</v>
      </c>
      <c r="I522" s="310" t="s">
        <v>3585</v>
      </c>
      <c r="J522" s="295" t="s">
        <v>3588</v>
      </c>
      <c r="K522" s="295" t="s">
        <v>109</v>
      </c>
      <c r="L522" s="295"/>
      <c r="M522" s="295"/>
      <c r="N522" s="295"/>
      <c r="O522" s="295"/>
      <c r="P522" s="295"/>
      <c r="Q522" s="295"/>
      <c r="R522" s="295"/>
      <c r="S522" s="296"/>
      <c r="T522" s="298"/>
      <c r="V522" s="295" t="s">
        <v>165</v>
      </c>
      <c r="W522" s="295" t="s">
        <v>3586</v>
      </c>
      <c r="X522" s="295" t="s">
        <v>3587</v>
      </c>
      <c r="Y522" s="296">
        <v>51</v>
      </c>
      <c r="Z522" s="296">
        <v>0</v>
      </c>
      <c r="AA522" s="296">
        <v>71</v>
      </c>
      <c r="AB522" s="299">
        <v>30.99</v>
      </c>
    </row>
    <row r="523" spans="1:28" s="397" customFormat="1" x14ac:dyDescent="0.25">
      <c r="A523" s="462"/>
      <c r="B523" s="295" t="s">
        <v>153</v>
      </c>
      <c r="C523" s="296">
        <v>11</v>
      </c>
      <c r="D523" s="295">
        <v>8736200</v>
      </c>
      <c r="E523" s="295" t="s">
        <v>24</v>
      </c>
      <c r="F523" s="295" t="s">
        <v>35</v>
      </c>
      <c r="G523" s="298" t="s">
        <v>25</v>
      </c>
      <c r="H523" s="295" t="s">
        <v>26</v>
      </c>
      <c r="I523" s="310" t="s">
        <v>3589</v>
      </c>
      <c r="J523" s="295" t="s">
        <v>3592</v>
      </c>
      <c r="K523" s="295" t="s">
        <v>29</v>
      </c>
      <c r="L523" s="295" t="s">
        <v>30</v>
      </c>
      <c r="M523" s="295" t="s">
        <v>31</v>
      </c>
      <c r="N523" s="295">
        <v>370579705</v>
      </c>
      <c r="O523" s="295"/>
      <c r="P523" s="295" t="s">
        <v>761</v>
      </c>
      <c r="Q523" s="295" t="s">
        <v>4217</v>
      </c>
      <c r="R523" s="295" t="s">
        <v>4185</v>
      </c>
      <c r="S523" s="296"/>
      <c r="T523" s="298"/>
      <c r="V523" s="295" t="s">
        <v>1191</v>
      </c>
      <c r="W523" s="295" t="s">
        <v>3590</v>
      </c>
      <c r="X523" s="295" t="s">
        <v>3591</v>
      </c>
      <c r="Y523" s="296">
        <v>44</v>
      </c>
      <c r="Z523" s="296">
        <v>0</v>
      </c>
      <c r="AA523" s="296">
        <v>58</v>
      </c>
      <c r="AB523" s="299">
        <v>25.86</v>
      </c>
    </row>
    <row r="524" spans="1:28" s="397" customFormat="1" x14ac:dyDescent="0.25">
      <c r="A524" s="462"/>
      <c r="B524" s="295" t="s">
        <v>153</v>
      </c>
      <c r="C524" s="296">
        <v>12</v>
      </c>
      <c r="D524" s="295">
        <v>667812</v>
      </c>
      <c r="E524" s="295" t="s">
        <v>23</v>
      </c>
      <c r="F524" s="295" t="s">
        <v>24</v>
      </c>
      <c r="G524" s="298" t="s">
        <v>25</v>
      </c>
      <c r="H524" s="295" t="s">
        <v>26</v>
      </c>
      <c r="I524" s="310" t="s">
        <v>3594</v>
      </c>
      <c r="J524" s="295" t="s">
        <v>3597</v>
      </c>
      <c r="K524" s="295" t="s">
        <v>29</v>
      </c>
      <c r="L524" s="295" t="s">
        <v>30</v>
      </c>
      <c r="M524" s="295" t="s">
        <v>56</v>
      </c>
      <c r="N524" s="295"/>
      <c r="O524" s="295"/>
      <c r="P524" s="295"/>
      <c r="Q524" s="295"/>
      <c r="R524" s="295"/>
      <c r="S524" s="296"/>
      <c r="T524" s="298">
        <v>5970812</v>
      </c>
      <c r="V524" s="295" t="s">
        <v>3593</v>
      </c>
      <c r="W524" s="295" t="s">
        <v>3595</v>
      </c>
      <c r="X524" s="295" t="s">
        <v>3596</v>
      </c>
      <c r="Y524" s="296">
        <v>74</v>
      </c>
      <c r="Z524" s="296">
        <v>0</v>
      </c>
      <c r="AA524" s="296">
        <v>85</v>
      </c>
      <c r="AB524" s="299">
        <v>32.94</v>
      </c>
    </row>
    <row r="525" spans="1:28" s="295" customFormat="1" x14ac:dyDescent="0.25">
      <c r="A525" s="462"/>
      <c r="B525" s="295" t="s">
        <v>153</v>
      </c>
      <c r="C525" s="296">
        <v>12</v>
      </c>
      <c r="D525" s="295">
        <v>125613995</v>
      </c>
      <c r="E525" s="295" t="s">
        <v>23</v>
      </c>
      <c r="F525" s="295" t="s">
        <v>24</v>
      </c>
      <c r="G525" s="298" t="s">
        <v>25</v>
      </c>
      <c r="H525" s="295" t="s">
        <v>26</v>
      </c>
      <c r="I525" s="310" t="s">
        <v>3598</v>
      </c>
      <c r="J525" s="295" t="s">
        <v>3601</v>
      </c>
      <c r="K525" s="295" t="s">
        <v>29</v>
      </c>
      <c r="L525" s="295" t="s">
        <v>30</v>
      </c>
      <c r="M525" s="295" t="s">
        <v>31</v>
      </c>
      <c r="S525" s="296"/>
      <c r="T525" s="298"/>
      <c r="V525" s="295" t="s">
        <v>1568</v>
      </c>
      <c r="W525" s="295" t="s">
        <v>3599</v>
      </c>
      <c r="X525" s="295" t="s">
        <v>3600</v>
      </c>
      <c r="Y525" s="296">
        <v>67</v>
      </c>
      <c r="Z525" s="296">
        <v>0</v>
      </c>
      <c r="AA525" s="296">
        <v>80</v>
      </c>
      <c r="AB525" s="299">
        <v>26.25</v>
      </c>
    </row>
    <row r="526" spans="1:28" s="295" customFormat="1" x14ac:dyDescent="0.25">
      <c r="A526" s="462"/>
      <c r="B526" s="295" t="s">
        <v>153</v>
      </c>
      <c r="C526" s="296">
        <v>14</v>
      </c>
      <c r="D526" s="295">
        <v>25325217</v>
      </c>
      <c r="E526" s="295" t="s">
        <v>43</v>
      </c>
      <c r="F526" s="295" t="s">
        <v>35</v>
      </c>
      <c r="G526" s="298" t="s">
        <v>25</v>
      </c>
      <c r="H526" s="295" t="s">
        <v>26</v>
      </c>
      <c r="I526" s="310" t="s">
        <v>3602</v>
      </c>
      <c r="J526" s="295" t="s">
        <v>3605</v>
      </c>
      <c r="K526" s="295" t="s">
        <v>29</v>
      </c>
      <c r="M526" s="295" t="s">
        <v>31</v>
      </c>
      <c r="S526" s="296"/>
      <c r="T526" s="298"/>
      <c r="V526" s="295" t="s">
        <v>468</v>
      </c>
      <c r="W526" s="295" t="s">
        <v>3603</v>
      </c>
      <c r="X526" s="295" t="s">
        <v>3604</v>
      </c>
      <c r="Y526" s="296">
        <v>56</v>
      </c>
      <c r="Z526" s="296">
        <v>0</v>
      </c>
      <c r="AA526" s="296">
        <v>54</v>
      </c>
      <c r="AB526" s="299">
        <v>35.19</v>
      </c>
    </row>
    <row r="527" spans="1:28" s="396" customFormat="1" x14ac:dyDescent="0.25">
      <c r="A527" s="462"/>
      <c r="B527" s="295" t="s">
        <v>153</v>
      </c>
      <c r="C527" s="296">
        <v>15</v>
      </c>
      <c r="D527" s="295">
        <v>84280212</v>
      </c>
      <c r="E527" s="295" t="s">
        <v>43</v>
      </c>
      <c r="F527" s="295" t="s">
        <v>24</v>
      </c>
      <c r="G527" s="298" t="s">
        <v>25</v>
      </c>
      <c r="H527" s="295" t="s">
        <v>589</v>
      </c>
      <c r="I527" s="310" t="s">
        <v>3606</v>
      </c>
      <c r="J527" s="295" t="s">
        <v>3609</v>
      </c>
      <c r="K527" s="295" t="s">
        <v>29</v>
      </c>
      <c r="L527" s="295"/>
      <c r="M527" s="295"/>
      <c r="N527" s="295"/>
      <c r="O527" s="295"/>
      <c r="P527" s="295"/>
      <c r="Q527" s="295"/>
      <c r="R527" s="295"/>
      <c r="S527" s="296"/>
      <c r="T527" s="298"/>
      <c r="V527" s="295" t="s">
        <v>557</v>
      </c>
      <c r="W527" s="295" t="s">
        <v>3607</v>
      </c>
      <c r="X527" s="295" t="s">
        <v>3608</v>
      </c>
      <c r="Y527" s="296">
        <v>68</v>
      </c>
      <c r="Z527" s="296">
        <v>0</v>
      </c>
      <c r="AA527" s="296">
        <v>54</v>
      </c>
      <c r="AB527" s="299">
        <v>25.93</v>
      </c>
    </row>
    <row r="528" spans="1:28" s="295" customFormat="1" x14ac:dyDescent="0.25">
      <c r="A528" s="462"/>
      <c r="B528" s="295" t="s">
        <v>153</v>
      </c>
      <c r="C528" s="296">
        <v>17</v>
      </c>
      <c r="D528" s="295">
        <v>39633950</v>
      </c>
      <c r="E528" s="295" t="s">
        <v>23</v>
      </c>
      <c r="F528" s="295" t="s">
        <v>24</v>
      </c>
      <c r="G528" s="298" t="s">
        <v>25</v>
      </c>
      <c r="H528" s="295" t="s">
        <v>26</v>
      </c>
      <c r="I528" s="310" t="s">
        <v>3610</v>
      </c>
      <c r="J528" s="295" t="s">
        <v>3613</v>
      </c>
      <c r="K528" s="295" t="s">
        <v>29</v>
      </c>
      <c r="L528" s="295" t="s">
        <v>30</v>
      </c>
      <c r="M528" s="295" t="s">
        <v>31</v>
      </c>
      <c r="N528" s="295">
        <v>746567833</v>
      </c>
      <c r="Q528" s="295" t="s">
        <v>4180</v>
      </c>
      <c r="R528" s="295" t="s">
        <v>4180</v>
      </c>
      <c r="S528" s="296"/>
      <c r="T528" s="298">
        <v>4066370</v>
      </c>
      <c r="V528" s="295" t="s">
        <v>40</v>
      </c>
      <c r="W528" s="295" t="s">
        <v>3611</v>
      </c>
      <c r="X528" s="295" t="s">
        <v>3612</v>
      </c>
      <c r="Y528" s="296">
        <v>120</v>
      </c>
      <c r="Z528" s="296">
        <v>0</v>
      </c>
      <c r="AA528" s="296">
        <v>116</v>
      </c>
      <c r="AB528" s="299">
        <v>14.66</v>
      </c>
    </row>
    <row r="529" spans="1:28" s="396" customFormat="1" x14ac:dyDescent="0.25">
      <c r="A529" s="462"/>
      <c r="B529" s="295" t="s">
        <v>153</v>
      </c>
      <c r="C529" s="296">
        <v>19</v>
      </c>
      <c r="D529" s="295">
        <v>19339059</v>
      </c>
      <c r="E529" s="295" t="s">
        <v>35</v>
      </c>
      <c r="F529" s="295" t="s">
        <v>24</v>
      </c>
      <c r="G529" s="298" t="s">
        <v>25</v>
      </c>
      <c r="H529" s="295" t="s">
        <v>26</v>
      </c>
      <c r="I529" s="310" t="s">
        <v>3614</v>
      </c>
      <c r="J529" s="295" t="s">
        <v>3617</v>
      </c>
      <c r="K529" s="295" t="s">
        <v>29</v>
      </c>
      <c r="L529" s="295" t="s">
        <v>39</v>
      </c>
      <c r="M529" s="295" t="s">
        <v>51</v>
      </c>
      <c r="N529" s="295"/>
      <c r="O529" s="295"/>
      <c r="P529" s="295"/>
      <c r="Q529" s="295"/>
      <c r="R529" s="295"/>
      <c r="S529" s="296"/>
      <c r="T529" s="298"/>
      <c r="V529" s="295" t="s">
        <v>735</v>
      </c>
      <c r="W529" s="295" t="s">
        <v>3615</v>
      </c>
      <c r="X529" s="295" t="s">
        <v>3616</v>
      </c>
      <c r="Y529" s="296">
        <v>54</v>
      </c>
      <c r="Z529" s="296">
        <v>0</v>
      </c>
      <c r="AA529" s="296">
        <v>34</v>
      </c>
      <c r="AB529" s="299">
        <v>44.12</v>
      </c>
    </row>
    <row r="530" spans="1:28" s="295" customFormat="1" x14ac:dyDescent="0.25">
      <c r="A530" s="462"/>
      <c r="B530" s="295" t="s">
        <v>153</v>
      </c>
      <c r="C530" s="296">
        <v>20</v>
      </c>
      <c r="D530" s="295">
        <v>869011</v>
      </c>
      <c r="E530" s="295" t="s">
        <v>43</v>
      </c>
      <c r="F530" s="295" t="s">
        <v>24</v>
      </c>
      <c r="G530" s="298" t="s">
        <v>25</v>
      </c>
      <c r="H530" s="295" t="s">
        <v>26</v>
      </c>
      <c r="I530" s="310" t="s">
        <v>3618</v>
      </c>
      <c r="J530" s="295" t="s">
        <v>3621</v>
      </c>
      <c r="K530" s="295" t="s">
        <v>29</v>
      </c>
      <c r="L530" s="295" t="s">
        <v>92</v>
      </c>
      <c r="M530" s="295" t="s">
        <v>51</v>
      </c>
      <c r="N530" s="295">
        <v>544504602</v>
      </c>
      <c r="S530" s="296"/>
      <c r="T530" s="298"/>
      <c r="V530" s="295" t="s">
        <v>270</v>
      </c>
      <c r="W530" s="295" t="s">
        <v>3619</v>
      </c>
      <c r="X530" s="295" t="s">
        <v>3620</v>
      </c>
      <c r="Y530" s="296">
        <v>58</v>
      </c>
      <c r="Z530" s="296">
        <v>0</v>
      </c>
      <c r="AA530" s="296">
        <v>74</v>
      </c>
      <c r="AB530" s="299">
        <v>22.97</v>
      </c>
    </row>
    <row r="531" spans="1:28" s="342" customFormat="1" ht="15.75" thickBot="1" x14ac:dyDescent="0.3">
      <c r="A531" s="463"/>
      <c r="B531" s="342" t="s">
        <v>153</v>
      </c>
      <c r="C531" s="343">
        <v>20</v>
      </c>
      <c r="D531" s="342">
        <v>60738670</v>
      </c>
      <c r="E531" s="342" t="s">
        <v>23</v>
      </c>
      <c r="F531" s="342" t="s">
        <v>24</v>
      </c>
      <c r="G531" s="345" t="s">
        <v>25</v>
      </c>
      <c r="H531" s="342" t="s">
        <v>168</v>
      </c>
      <c r="I531" s="344" t="s">
        <v>3189</v>
      </c>
      <c r="J531" s="342" t="s">
        <v>3624</v>
      </c>
      <c r="K531" s="342" t="s">
        <v>29</v>
      </c>
      <c r="L531" s="342" t="s">
        <v>39</v>
      </c>
      <c r="M531" s="342" t="s">
        <v>56</v>
      </c>
      <c r="S531" s="343"/>
      <c r="T531" s="345"/>
      <c r="V531" s="342" t="s">
        <v>798</v>
      </c>
      <c r="W531" s="342" t="s">
        <v>3622</v>
      </c>
      <c r="X531" s="342" t="s">
        <v>3623</v>
      </c>
      <c r="Y531" s="343">
        <v>98</v>
      </c>
      <c r="Z531" s="343">
        <v>0</v>
      </c>
      <c r="AA531" s="343">
        <v>83</v>
      </c>
      <c r="AB531" s="346">
        <v>27.71</v>
      </c>
    </row>
    <row r="532" spans="1:28" x14ac:dyDescent="0.25">
      <c r="A532" s="230"/>
    </row>
    <row r="533" spans="1:28" x14ac:dyDescent="0.25">
      <c r="A533" s="230"/>
    </row>
    <row r="534" spans="1:28" x14ac:dyDescent="0.25">
      <c r="A534" s="230"/>
    </row>
    <row r="535" spans="1:28" x14ac:dyDescent="0.25">
      <c r="A535" s="230"/>
    </row>
  </sheetData>
  <sortState ref="A104:AH165">
    <sortCondition ref="C104:C165"/>
    <sortCondition ref="D104:D16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768"/>
  <sheetViews>
    <sheetView zoomScale="70" zoomScaleNormal="70" workbookViewId="0">
      <selection sqref="A1:I1"/>
    </sheetView>
  </sheetViews>
  <sheetFormatPr defaultColWidth="8.85546875" defaultRowHeight="15" x14ac:dyDescent="0.25"/>
  <cols>
    <col min="1" max="1" width="5.140625" style="146" bestFit="1" customWidth="1"/>
    <col min="2" max="2" width="25" style="147" customWidth="1"/>
    <col min="3" max="3" width="13" style="148" bestFit="1" customWidth="1"/>
    <col min="4" max="4" width="10.140625" style="148" bestFit="1" customWidth="1"/>
    <col min="5" max="5" width="12.85546875" style="271" bestFit="1" customWidth="1"/>
    <col min="6" max="6" width="44.42578125" style="149" bestFit="1" customWidth="1"/>
    <col min="7" max="7" width="13.85546875" style="149" bestFit="1" customWidth="1"/>
    <col min="8" max="8" width="25.42578125" style="148" bestFit="1" customWidth="1"/>
    <col min="9" max="9" width="15.42578125" style="271" customWidth="1"/>
    <col min="10" max="10" width="44.42578125" style="149" bestFit="1" customWidth="1"/>
    <col min="11" max="11" width="30.7109375" style="329" customWidth="1"/>
    <col min="12" max="12" width="17" bestFit="1" customWidth="1"/>
  </cols>
  <sheetData>
    <row r="1" spans="1:12" s="225" customFormat="1" ht="20.25" customHeight="1" x14ac:dyDescent="0.3">
      <c r="A1" s="466" t="s">
        <v>3262</v>
      </c>
      <c r="B1" s="466"/>
      <c r="C1" s="466"/>
      <c r="D1" s="466"/>
      <c r="E1" s="466"/>
      <c r="F1" s="466"/>
      <c r="G1" s="466"/>
      <c r="H1" s="466"/>
      <c r="I1" s="466"/>
      <c r="J1" s="231"/>
      <c r="K1" s="315"/>
    </row>
    <row r="2" spans="1:12" ht="19.5" thickBot="1" x14ac:dyDescent="0.35">
      <c r="A2" s="152" t="s">
        <v>2734</v>
      </c>
      <c r="B2" s="152" t="s">
        <v>2733</v>
      </c>
      <c r="C2" s="150" t="s">
        <v>1951</v>
      </c>
      <c r="D2" s="150" t="s">
        <v>1</v>
      </c>
      <c r="E2" s="242" t="s">
        <v>2</v>
      </c>
      <c r="F2" s="152" t="s">
        <v>1952</v>
      </c>
      <c r="G2" s="150" t="s">
        <v>1953</v>
      </c>
      <c r="H2" s="150" t="s">
        <v>1</v>
      </c>
      <c r="I2" s="242" t="s">
        <v>2</v>
      </c>
      <c r="J2" s="151" t="s">
        <v>1952</v>
      </c>
      <c r="K2" s="151" t="s">
        <v>2737</v>
      </c>
      <c r="L2" s="225"/>
    </row>
    <row r="3" spans="1:12" ht="15.75" thickTop="1" x14ac:dyDescent="0.25">
      <c r="A3" s="470" t="s">
        <v>4146</v>
      </c>
      <c r="B3" s="7" t="s">
        <v>22</v>
      </c>
      <c r="C3" s="2" t="s">
        <v>1954</v>
      </c>
      <c r="D3" s="153">
        <v>1</v>
      </c>
      <c r="E3" s="243">
        <v>6876801</v>
      </c>
      <c r="F3" s="1" t="s">
        <v>1955</v>
      </c>
      <c r="G3" s="2" t="s">
        <v>1956</v>
      </c>
      <c r="H3" s="153">
        <v>1</v>
      </c>
      <c r="I3" s="243">
        <v>7035613</v>
      </c>
      <c r="J3" s="1" t="s">
        <v>1955</v>
      </c>
      <c r="K3" s="4" t="s">
        <v>1957</v>
      </c>
    </row>
    <row r="4" spans="1:12" x14ac:dyDescent="0.25">
      <c r="A4" s="468"/>
      <c r="B4" s="7" t="s">
        <v>22</v>
      </c>
      <c r="C4" s="2" t="s">
        <v>1958</v>
      </c>
      <c r="D4" s="153">
        <v>1</v>
      </c>
      <c r="E4" s="243">
        <v>7381169</v>
      </c>
      <c r="F4" s="1" t="s">
        <v>1955</v>
      </c>
      <c r="G4" s="2" t="s">
        <v>1956</v>
      </c>
      <c r="H4" s="153" t="s">
        <v>1959</v>
      </c>
      <c r="I4" s="3"/>
      <c r="J4" s="1"/>
      <c r="K4" s="4" t="s">
        <v>1957</v>
      </c>
    </row>
    <row r="5" spans="1:12" x14ac:dyDescent="0.25">
      <c r="A5" s="468"/>
      <c r="B5" s="7" t="s">
        <v>22</v>
      </c>
      <c r="C5" s="2" t="s">
        <v>1960</v>
      </c>
      <c r="D5" s="153">
        <v>1</v>
      </c>
      <c r="E5" s="243">
        <v>112859893</v>
      </c>
      <c r="F5" s="5" t="s">
        <v>1961</v>
      </c>
      <c r="G5" s="2" t="s">
        <v>1956</v>
      </c>
      <c r="H5" s="153">
        <v>1</v>
      </c>
      <c r="I5" s="243">
        <v>113044620</v>
      </c>
      <c r="J5" s="5" t="s">
        <v>1962</v>
      </c>
      <c r="K5" s="154" t="s">
        <v>1963</v>
      </c>
    </row>
    <row r="6" spans="1:12" x14ac:dyDescent="0.25">
      <c r="A6" s="468"/>
      <c r="B6" s="7" t="s">
        <v>22</v>
      </c>
      <c r="C6" s="2" t="s">
        <v>1964</v>
      </c>
      <c r="D6" s="153">
        <v>2</v>
      </c>
      <c r="E6" s="243">
        <v>66950916</v>
      </c>
      <c r="F6" s="5" t="s">
        <v>1965</v>
      </c>
      <c r="G6" s="2" t="s">
        <v>1956</v>
      </c>
      <c r="H6" s="153">
        <v>2</v>
      </c>
      <c r="I6" s="243">
        <v>84528528</v>
      </c>
      <c r="J6" s="5" t="s">
        <v>1966</v>
      </c>
      <c r="K6" s="154"/>
      <c r="L6" s="229"/>
    </row>
    <row r="7" spans="1:12" x14ac:dyDescent="0.25">
      <c r="A7" s="468"/>
      <c r="B7" s="7" t="s">
        <v>22</v>
      </c>
      <c r="C7" s="2" t="s">
        <v>1954</v>
      </c>
      <c r="D7" s="153">
        <v>2</v>
      </c>
      <c r="E7" s="243">
        <v>128176236</v>
      </c>
      <c r="F7" s="5" t="s">
        <v>1967</v>
      </c>
      <c r="G7" s="2" t="s">
        <v>1956</v>
      </c>
      <c r="H7" s="153">
        <v>2</v>
      </c>
      <c r="I7" s="243">
        <v>128319094</v>
      </c>
      <c r="J7" s="5" t="s">
        <v>1968</v>
      </c>
      <c r="K7" s="154" t="s">
        <v>1969</v>
      </c>
      <c r="L7" s="229"/>
    </row>
    <row r="8" spans="1:12" x14ac:dyDescent="0.25">
      <c r="A8" s="468"/>
      <c r="B8" s="7" t="s">
        <v>22</v>
      </c>
      <c r="C8" s="2" t="s">
        <v>1960</v>
      </c>
      <c r="D8" s="153">
        <v>3</v>
      </c>
      <c r="E8" s="243">
        <v>71108227</v>
      </c>
      <c r="F8" s="1" t="s">
        <v>1970</v>
      </c>
      <c r="G8" s="2" t="s">
        <v>1956</v>
      </c>
      <c r="H8" s="153">
        <v>3</v>
      </c>
      <c r="I8" s="243">
        <v>71353954</v>
      </c>
      <c r="J8" s="1" t="s">
        <v>1970</v>
      </c>
      <c r="K8" s="4" t="s">
        <v>1971</v>
      </c>
      <c r="L8" s="229"/>
    </row>
    <row r="9" spans="1:12" x14ac:dyDescent="0.25">
      <c r="A9" s="468"/>
      <c r="B9" s="7" t="s">
        <v>22</v>
      </c>
      <c r="C9" s="2" t="s">
        <v>1954</v>
      </c>
      <c r="D9" s="153">
        <v>3</v>
      </c>
      <c r="E9" s="243">
        <v>127907759</v>
      </c>
      <c r="F9" s="1" t="s">
        <v>1972</v>
      </c>
      <c r="G9" s="2" t="s">
        <v>1956</v>
      </c>
      <c r="H9" s="153">
        <v>3</v>
      </c>
      <c r="I9" s="243">
        <v>128306411</v>
      </c>
      <c r="J9" s="1" t="s">
        <v>1973</v>
      </c>
      <c r="K9" s="4" t="s">
        <v>1974</v>
      </c>
    </row>
    <row r="10" spans="1:12" x14ac:dyDescent="0.25">
      <c r="A10" s="468"/>
      <c r="B10" s="7" t="s">
        <v>22</v>
      </c>
      <c r="C10" s="2" t="s">
        <v>1975</v>
      </c>
      <c r="D10" s="153">
        <v>4</v>
      </c>
      <c r="E10" s="243">
        <v>8035214</v>
      </c>
      <c r="F10" s="1" t="s">
        <v>1976</v>
      </c>
      <c r="G10" s="2" t="s">
        <v>1956</v>
      </c>
      <c r="H10" s="2">
        <v>5</v>
      </c>
      <c r="I10" s="3">
        <v>149483495</v>
      </c>
      <c r="J10" s="1" t="s">
        <v>1977</v>
      </c>
      <c r="K10" s="4" t="s">
        <v>1978</v>
      </c>
    </row>
    <row r="11" spans="1:12" x14ac:dyDescent="0.25">
      <c r="A11" s="468"/>
      <c r="B11" s="7" t="s">
        <v>22</v>
      </c>
      <c r="C11" s="2" t="s">
        <v>1960</v>
      </c>
      <c r="D11" s="153">
        <v>4</v>
      </c>
      <c r="E11" s="243">
        <v>178027343</v>
      </c>
      <c r="F11" s="1" t="s">
        <v>2740</v>
      </c>
      <c r="G11" s="2" t="s">
        <v>1956</v>
      </c>
      <c r="H11" s="153">
        <v>4</v>
      </c>
      <c r="I11" s="243">
        <v>176837671</v>
      </c>
      <c r="J11" s="1" t="s">
        <v>1979</v>
      </c>
      <c r="K11" s="4" t="s">
        <v>1980</v>
      </c>
      <c r="L11" s="229"/>
    </row>
    <row r="12" spans="1:12" x14ac:dyDescent="0.25">
      <c r="A12" s="468"/>
      <c r="B12" s="7" t="s">
        <v>22</v>
      </c>
      <c r="C12" s="2" t="s">
        <v>1975</v>
      </c>
      <c r="D12" s="153">
        <v>5</v>
      </c>
      <c r="E12" s="243">
        <v>149483733</v>
      </c>
      <c r="F12" s="5" t="s">
        <v>1981</v>
      </c>
      <c r="G12" s="2" t="s">
        <v>1956</v>
      </c>
      <c r="H12" s="153">
        <v>11</v>
      </c>
      <c r="I12" s="243">
        <v>64522789</v>
      </c>
      <c r="J12" s="5" t="s">
        <v>1982</v>
      </c>
      <c r="K12" s="154" t="s">
        <v>1983</v>
      </c>
    </row>
    <row r="13" spans="1:12" x14ac:dyDescent="0.25">
      <c r="A13" s="468"/>
      <c r="B13" s="7" t="s">
        <v>22</v>
      </c>
      <c r="C13" s="2" t="s">
        <v>1960</v>
      </c>
      <c r="D13" s="153">
        <v>6</v>
      </c>
      <c r="E13" s="243">
        <v>51313715</v>
      </c>
      <c r="F13" s="1" t="s">
        <v>1984</v>
      </c>
      <c r="G13" s="2" t="s">
        <v>1956</v>
      </c>
      <c r="H13" s="153">
        <v>6</v>
      </c>
      <c r="I13" s="3">
        <v>51313849</v>
      </c>
      <c r="J13" s="1" t="s">
        <v>1984</v>
      </c>
      <c r="K13" s="4"/>
      <c r="L13" s="229"/>
    </row>
    <row r="14" spans="1:12" x14ac:dyDescent="0.25">
      <c r="A14" s="468"/>
      <c r="B14" s="7" t="s">
        <v>22</v>
      </c>
      <c r="C14" s="2" t="s">
        <v>1960</v>
      </c>
      <c r="D14" s="153">
        <v>6</v>
      </c>
      <c r="E14" s="243">
        <v>51314272</v>
      </c>
      <c r="F14" s="1" t="s">
        <v>1984</v>
      </c>
      <c r="G14" s="2" t="s">
        <v>1956</v>
      </c>
      <c r="H14" s="153">
        <v>6</v>
      </c>
      <c r="I14" s="3">
        <v>51552333</v>
      </c>
      <c r="J14" s="1" t="s">
        <v>1985</v>
      </c>
      <c r="K14" s="4" t="s">
        <v>1986</v>
      </c>
      <c r="L14" s="229"/>
    </row>
    <row r="15" spans="1:12" x14ac:dyDescent="0.25">
      <c r="A15" s="468"/>
      <c r="B15" s="7" t="s">
        <v>22</v>
      </c>
      <c r="C15" s="2" t="s">
        <v>1960</v>
      </c>
      <c r="D15" s="153">
        <v>7</v>
      </c>
      <c r="E15" s="243">
        <v>860816</v>
      </c>
      <c r="F15" s="1" t="s">
        <v>1987</v>
      </c>
      <c r="G15" s="2" t="s">
        <v>1956</v>
      </c>
      <c r="H15" s="153">
        <v>7</v>
      </c>
      <c r="I15" s="243">
        <v>76960437</v>
      </c>
      <c r="J15" s="1" t="s">
        <v>1988</v>
      </c>
      <c r="K15" s="4" t="s">
        <v>1989</v>
      </c>
      <c r="L15" s="229"/>
    </row>
    <row r="16" spans="1:12" x14ac:dyDescent="0.25">
      <c r="A16" s="468"/>
      <c r="B16" s="7" t="s">
        <v>22</v>
      </c>
      <c r="C16" s="2" t="s">
        <v>1960</v>
      </c>
      <c r="D16" s="153">
        <v>7</v>
      </c>
      <c r="E16" s="243">
        <v>20679488</v>
      </c>
      <c r="F16" s="1" t="s">
        <v>1990</v>
      </c>
      <c r="G16" s="2" t="s">
        <v>1956</v>
      </c>
      <c r="H16" s="153">
        <v>7</v>
      </c>
      <c r="I16" s="243">
        <v>20683798</v>
      </c>
      <c r="J16" s="1" t="s">
        <v>1990</v>
      </c>
      <c r="K16" s="4" t="s">
        <v>403</v>
      </c>
    </row>
    <row r="17" spans="1:11" x14ac:dyDescent="0.25">
      <c r="A17" s="468"/>
      <c r="B17" s="7" t="s">
        <v>22</v>
      </c>
      <c r="C17" s="2" t="s">
        <v>1954</v>
      </c>
      <c r="D17" s="153">
        <v>7</v>
      </c>
      <c r="E17" s="243">
        <v>147233961</v>
      </c>
      <c r="F17" s="1" t="s">
        <v>1991</v>
      </c>
      <c r="G17" s="2" t="s">
        <v>1956</v>
      </c>
      <c r="H17" s="153">
        <v>7</v>
      </c>
      <c r="I17" s="243">
        <v>147413050</v>
      </c>
      <c r="J17" s="1" t="s">
        <v>1991</v>
      </c>
      <c r="K17" s="4" t="s">
        <v>1992</v>
      </c>
    </row>
    <row r="18" spans="1:11" x14ac:dyDescent="0.25">
      <c r="A18" s="468"/>
      <c r="B18" s="7" t="s">
        <v>22</v>
      </c>
      <c r="C18" s="2" t="s">
        <v>1975</v>
      </c>
      <c r="D18" s="153">
        <v>7</v>
      </c>
      <c r="E18" s="243">
        <v>148293244</v>
      </c>
      <c r="F18" s="1" t="s">
        <v>1993</v>
      </c>
      <c r="G18" s="2" t="s">
        <v>1956</v>
      </c>
      <c r="H18" s="153">
        <v>19</v>
      </c>
      <c r="I18" s="243">
        <v>2374914</v>
      </c>
      <c r="J18" s="1" t="s">
        <v>1994</v>
      </c>
      <c r="K18" s="4" t="s">
        <v>1995</v>
      </c>
    </row>
    <row r="19" spans="1:11" x14ac:dyDescent="0.25">
      <c r="A19" s="468"/>
      <c r="B19" s="7" t="s">
        <v>22</v>
      </c>
      <c r="C19" s="2" t="s">
        <v>1960</v>
      </c>
      <c r="D19" s="153">
        <v>8</v>
      </c>
      <c r="E19" s="243">
        <v>55075536</v>
      </c>
      <c r="F19" s="1" t="s">
        <v>1996</v>
      </c>
      <c r="G19" s="2" t="s">
        <v>1956</v>
      </c>
      <c r="H19" s="153">
        <v>8</v>
      </c>
      <c r="I19" s="243">
        <v>55075613</v>
      </c>
      <c r="J19" s="1" t="s">
        <v>1996</v>
      </c>
      <c r="K19" s="4"/>
    </row>
    <row r="20" spans="1:11" x14ac:dyDescent="0.25">
      <c r="A20" s="468"/>
      <c r="B20" s="7" t="s">
        <v>22</v>
      </c>
      <c r="C20" s="2" t="s">
        <v>1954</v>
      </c>
      <c r="D20" s="153">
        <v>8</v>
      </c>
      <c r="E20" s="243">
        <v>107539117</v>
      </c>
      <c r="F20" s="1" t="s">
        <v>1997</v>
      </c>
      <c r="G20" s="2" t="s">
        <v>1956</v>
      </c>
      <c r="H20" s="153">
        <v>8</v>
      </c>
      <c r="I20" s="3">
        <v>107543137</v>
      </c>
      <c r="J20" s="1" t="s">
        <v>1997</v>
      </c>
      <c r="K20" s="4"/>
    </row>
    <row r="21" spans="1:11" x14ac:dyDescent="0.25">
      <c r="A21" s="468"/>
      <c r="B21" s="7" t="s">
        <v>22</v>
      </c>
      <c r="C21" s="2" t="s">
        <v>1954</v>
      </c>
      <c r="D21" s="153">
        <v>12</v>
      </c>
      <c r="E21" s="243">
        <v>96981410</v>
      </c>
      <c r="F21" s="1" t="s">
        <v>1998</v>
      </c>
      <c r="G21" s="2" t="s">
        <v>1956</v>
      </c>
      <c r="H21" s="153">
        <v>12</v>
      </c>
      <c r="I21" s="3">
        <v>97074238</v>
      </c>
      <c r="J21" s="1" t="s">
        <v>1998</v>
      </c>
      <c r="K21" s="4" t="s">
        <v>1999</v>
      </c>
    </row>
    <row r="22" spans="1:11" x14ac:dyDescent="0.25">
      <c r="A22" s="468"/>
      <c r="B22" s="7" t="s">
        <v>22</v>
      </c>
      <c r="C22" s="2" t="s">
        <v>1960</v>
      </c>
      <c r="D22" s="153">
        <v>12</v>
      </c>
      <c r="E22" s="243">
        <v>99482260</v>
      </c>
      <c r="F22" s="1" t="s">
        <v>2000</v>
      </c>
      <c r="G22" s="2" t="s">
        <v>1956</v>
      </c>
      <c r="H22" s="153">
        <v>12</v>
      </c>
      <c r="I22" s="3">
        <v>99482683</v>
      </c>
      <c r="J22" s="1" t="s">
        <v>2000</v>
      </c>
      <c r="K22" s="4"/>
    </row>
    <row r="23" spans="1:11" x14ac:dyDescent="0.25">
      <c r="A23" s="468"/>
      <c r="B23" s="7" t="s">
        <v>22</v>
      </c>
      <c r="C23" s="2" t="s">
        <v>1954</v>
      </c>
      <c r="D23" s="153">
        <v>12</v>
      </c>
      <c r="E23" s="243">
        <v>117988832</v>
      </c>
      <c r="F23" s="1" t="s">
        <v>2001</v>
      </c>
      <c r="G23" s="2" t="s">
        <v>1956</v>
      </c>
      <c r="H23" s="153">
        <v>12</v>
      </c>
      <c r="I23" s="243">
        <v>118097920</v>
      </c>
      <c r="J23" s="1" t="s">
        <v>2001</v>
      </c>
      <c r="K23" s="4" t="s">
        <v>2002</v>
      </c>
    </row>
    <row r="24" spans="1:11" x14ac:dyDescent="0.25">
      <c r="A24" s="468"/>
      <c r="B24" s="7" t="s">
        <v>22</v>
      </c>
      <c r="C24" s="2" t="s">
        <v>1964</v>
      </c>
      <c r="D24" s="155">
        <v>13</v>
      </c>
      <c r="E24" s="244">
        <v>54429365</v>
      </c>
      <c r="F24" s="156" t="s">
        <v>2003</v>
      </c>
      <c r="G24" s="2" t="s">
        <v>1956</v>
      </c>
      <c r="H24" s="155">
        <v>13</v>
      </c>
      <c r="I24" s="244">
        <v>54431538</v>
      </c>
      <c r="J24" s="156" t="s">
        <v>2003</v>
      </c>
      <c r="K24" s="316"/>
    </row>
    <row r="25" spans="1:11" x14ac:dyDescent="0.25">
      <c r="A25" s="468"/>
      <c r="B25" s="7" t="s">
        <v>22</v>
      </c>
      <c r="C25" s="2" t="s">
        <v>1958</v>
      </c>
      <c r="D25" s="153">
        <v>13</v>
      </c>
      <c r="E25" s="243">
        <v>54538746</v>
      </c>
      <c r="F25" s="1" t="s">
        <v>2004</v>
      </c>
      <c r="G25" s="2" t="s">
        <v>1956</v>
      </c>
      <c r="H25" s="153" t="s">
        <v>2005</v>
      </c>
      <c r="I25" s="3"/>
      <c r="J25" s="1"/>
      <c r="K25" s="4"/>
    </row>
    <row r="26" spans="1:11" x14ac:dyDescent="0.25">
      <c r="A26" s="468"/>
      <c r="B26" s="7" t="s">
        <v>22</v>
      </c>
      <c r="C26" s="2" t="s">
        <v>1958</v>
      </c>
      <c r="D26" s="153">
        <v>19</v>
      </c>
      <c r="E26" s="243">
        <v>57956169</v>
      </c>
      <c r="F26" s="1" t="s">
        <v>2741</v>
      </c>
      <c r="G26" s="2" t="s">
        <v>1956</v>
      </c>
      <c r="H26" s="153" t="s">
        <v>1959</v>
      </c>
      <c r="I26" s="3"/>
      <c r="J26" s="1"/>
      <c r="K26" s="4"/>
    </row>
    <row r="27" spans="1:11" x14ac:dyDescent="0.25">
      <c r="A27" s="468"/>
      <c r="B27" s="7" t="s">
        <v>22</v>
      </c>
      <c r="C27" s="2" t="s">
        <v>1954</v>
      </c>
      <c r="D27" s="153" t="s">
        <v>379</v>
      </c>
      <c r="E27" s="243">
        <v>31161259</v>
      </c>
      <c r="F27" s="1" t="s">
        <v>2006</v>
      </c>
      <c r="G27" s="2" t="s">
        <v>1956</v>
      </c>
      <c r="H27" s="153" t="s">
        <v>379</v>
      </c>
      <c r="I27" s="243">
        <v>31344801</v>
      </c>
      <c r="J27" s="1" t="s">
        <v>2006</v>
      </c>
      <c r="K27" s="4" t="s">
        <v>2007</v>
      </c>
    </row>
    <row r="28" spans="1:11" x14ac:dyDescent="0.25">
      <c r="A28" s="468"/>
      <c r="B28" s="7" t="s">
        <v>22</v>
      </c>
      <c r="C28" s="2" t="s">
        <v>1954</v>
      </c>
      <c r="D28" s="153" t="s">
        <v>379</v>
      </c>
      <c r="E28" s="243">
        <v>76939370</v>
      </c>
      <c r="F28" s="1" t="s">
        <v>2008</v>
      </c>
      <c r="G28" s="2" t="s">
        <v>1956</v>
      </c>
      <c r="H28" s="153" t="s">
        <v>379</v>
      </c>
      <c r="I28" s="243">
        <v>77020418</v>
      </c>
      <c r="J28" s="1" t="s">
        <v>2008</v>
      </c>
      <c r="K28" s="4" t="s">
        <v>2009</v>
      </c>
    </row>
    <row r="29" spans="1:11" x14ac:dyDescent="0.25">
      <c r="A29" s="468"/>
      <c r="B29" s="157" t="s">
        <v>504</v>
      </c>
      <c r="C29" s="158" t="s">
        <v>1975</v>
      </c>
      <c r="D29" s="159">
        <v>11</v>
      </c>
      <c r="E29" s="245">
        <v>70115118</v>
      </c>
      <c r="F29" s="160" t="s">
        <v>2010</v>
      </c>
      <c r="G29" s="158" t="s">
        <v>1956</v>
      </c>
      <c r="H29" s="159">
        <v>17</v>
      </c>
      <c r="I29" s="245">
        <v>39099696</v>
      </c>
      <c r="J29" s="160" t="s">
        <v>2011</v>
      </c>
      <c r="K29" s="317"/>
    </row>
    <row r="30" spans="1:11" x14ac:dyDescent="0.25">
      <c r="A30" s="468"/>
      <c r="B30" s="14" t="s">
        <v>153</v>
      </c>
      <c r="C30" s="9" t="s">
        <v>1975</v>
      </c>
      <c r="D30" s="161">
        <v>1</v>
      </c>
      <c r="E30" s="246">
        <v>12099074</v>
      </c>
      <c r="F30" s="12" t="s">
        <v>2012</v>
      </c>
      <c r="G30" s="9" t="s">
        <v>1956</v>
      </c>
      <c r="H30" s="161">
        <v>12</v>
      </c>
      <c r="I30" s="246">
        <v>158620</v>
      </c>
      <c r="J30" s="12" t="s">
        <v>2013</v>
      </c>
      <c r="K30" s="162"/>
    </row>
    <row r="31" spans="1:11" x14ac:dyDescent="0.25">
      <c r="A31" s="468"/>
      <c r="B31" s="14" t="s">
        <v>153</v>
      </c>
      <c r="C31" s="9" t="s">
        <v>1975</v>
      </c>
      <c r="D31" s="161">
        <v>1</v>
      </c>
      <c r="E31" s="246">
        <v>240496134</v>
      </c>
      <c r="F31" s="12" t="s">
        <v>2014</v>
      </c>
      <c r="G31" s="9" t="s">
        <v>1956</v>
      </c>
      <c r="H31" s="161">
        <v>17</v>
      </c>
      <c r="I31" s="246">
        <v>51448124</v>
      </c>
      <c r="J31" s="12" t="s">
        <v>2015</v>
      </c>
      <c r="K31" s="162" t="s">
        <v>2016</v>
      </c>
    </row>
    <row r="32" spans="1:11" x14ac:dyDescent="0.25">
      <c r="A32" s="468"/>
      <c r="B32" s="14" t="s">
        <v>153</v>
      </c>
      <c r="C32" s="9" t="s">
        <v>1975</v>
      </c>
      <c r="D32" s="161">
        <v>1</v>
      </c>
      <c r="E32" s="246">
        <v>247553113</v>
      </c>
      <c r="F32" s="12" t="s">
        <v>2017</v>
      </c>
      <c r="G32" s="9" t="s">
        <v>1956</v>
      </c>
      <c r="H32" s="161">
        <v>17</v>
      </c>
      <c r="I32" s="246">
        <v>43262203</v>
      </c>
      <c r="J32" s="12" t="s">
        <v>2018</v>
      </c>
      <c r="K32" s="162"/>
    </row>
    <row r="33" spans="1:11" x14ac:dyDescent="0.25">
      <c r="A33" s="468"/>
      <c r="B33" s="14" t="s">
        <v>153</v>
      </c>
      <c r="C33" s="9" t="s">
        <v>1954</v>
      </c>
      <c r="D33" s="161">
        <v>2</v>
      </c>
      <c r="E33" s="246">
        <v>5882530</v>
      </c>
      <c r="F33" s="8" t="s">
        <v>2019</v>
      </c>
      <c r="G33" s="9" t="s">
        <v>1956</v>
      </c>
      <c r="H33" s="161">
        <v>2</v>
      </c>
      <c r="I33" s="246">
        <v>6060488</v>
      </c>
      <c r="J33" s="8" t="s">
        <v>2019</v>
      </c>
      <c r="K33" s="11"/>
    </row>
    <row r="34" spans="1:11" x14ac:dyDescent="0.25">
      <c r="A34" s="468"/>
      <c r="B34" s="14" t="s">
        <v>153</v>
      </c>
      <c r="C34" s="9" t="s">
        <v>1954</v>
      </c>
      <c r="D34" s="161">
        <v>2</v>
      </c>
      <c r="E34" s="246">
        <v>32988660</v>
      </c>
      <c r="F34" s="12" t="s">
        <v>2020</v>
      </c>
      <c r="G34" s="9" t="s">
        <v>1956</v>
      </c>
      <c r="H34" s="161">
        <v>2</v>
      </c>
      <c r="I34" s="246">
        <v>32989238</v>
      </c>
      <c r="J34" s="12" t="s">
        <v>2020</v>
      </c>
      <c r="K34" s="162"/>
    </row>
    <row r="35" spans="1:11" x14ac:dyDescent="0.25">
      <c r="A35" s="468"/>
      <c r="B35" s="14" t="s">
        <v>153</v>
      </c>
      <c r="C35" s="9" t="s">
        <v>1958</v>
      </c>
      <c r="D35" s="161">
        <v>2</v>
      </c>
      <c r="E35" s="246">
        <v>74529836</v>
      </c>
      <c r="F35" s="8" t="s">
        <v>2021</v>
      </c>
      <c r="G35" s="9" t="s">
        <v>1956</v>
      </c>
      <c r="H35" s="161" t="s">
        <v>1959</v>
      </c>
      <c r="I35" s="10"/>
      <c r="J35" s="8"/>
      <c r="K35" s="11" t="s">
        <v>2022</v>
      </c>
    </row>
    <row r="36" spans="1:11" x14ac:dyDescent="0.25">
      <c r="A36" s="468"/>
      <c r="B36" s="14" t="s">
        <v>153</v>
      </c>
      <c r="C36" s="9" t="s">
        <v>1964</v>
      </c>
      <c r="D36" s="161">
        <v>2</v>
      </c>
      <c r="E36" s="246">
        <v>74561442</v>
      </c>
      <c r="F36" s="12" t="s">
        <v>2023</v>
      </c>
      <c r="G36" s="9" t="s">
        <v>1956</v>
      </c>
      <c r="H36" s="161">
        <v>2</v>
      </c>
      <c r="I36" s="246">
        <v>74562122</v>
      </c>
      <c r="J36" s="12" t="s">
        <v>2023</v>
      </c>
      <c r="K36" s="162"/>
    </row>
    <row r="37" spans="1:11" x14ac:dyDescent="0.25">
      <c r="A37" s="468"/>
      <c r="B37" s="14" t="s">
        <v>153</v>
      </c>
      <c r="C37" s="9" t="s">
        <v>1960</v>
      </c>
      <c r="D37" s="161">
        <v>2</v>
      </c>
      <c r="E37" s="246">
        <v>160446435</v>
      </c>
      <c r="F37" s="12" t="s">
        <v>2024</v>
      </c>
      <c r="G37" s="9" t="s">
        <v>1956</v>
      </c>
      <c r="H37" s="161">
        <v>2</v>
      </c>
      <c r="I37" s="246">
        <v>160446806</v>
      </c>
      <c r="J37" s="12" t="s">
        <v>2024</v>
      </c>
      <c r="K37" s="162"/>
    </row>
    <row r="38" spans="1:11" x14ac:dyDescent="0.25">
      <c r="A38" s="468"/>
      <c r="B38" s="14" t="s">
        <v>153</v>
      </c>
      <c r="C38" s="9" t="s">
        <v>1954</v>
      </c>
      <c r="D38" s="161">
        <v>3</v>
      </c>
      <c r="E38" s="246">
        <v>20873771</v>
      </c>
      <c r="F38" s="8" t="s">
        <v>2025</v>
      </c>
      <c r="G38" s="9" t="s">
        <v>1956</v>
      </c>
      <c r="H38" s="161">
        <v>3</v>
      </c>
      <c r="I38" s="246">
        <v>20901835</v>
      </c>
      <c r="J38" s="8" t="s">
        <v>2025</v>
      </c>
      <c r="K38" s="11"/>
    </row>
    <row r="39" spans="1:11" x14ac:dyDescent="0.25">
      <c r="A39" s="468"/>
      <c r="B39" s="14" t="s">
        <v>153</v>
      </c>
      <c r="C39" s="9" t="s">
        <v>1964</v>
      </c>
      <c r="D39" s="161">
        <v>3</v>
      </c>
      <c r="E39" s="246">
        <v>32910016</v>
      </c>
      <c r="F39" s="8" t="s">
        <v>2026</v>
      </c>
      <c r="G39" s="9" t="s">
        <v>1956</v>
      </c>
      <c r="H39" s="161">
        <v>3</v>
      </c>
      <c r="I39" s="246">
        <v>156969300</v>
      </c>
      <c r="J39" s="8" t="s">
        <v>2027</v>
      </c>
      <c r="K39" s="11" t="s">
        <v>2028</v>
      </c>
    </row>
    <row r="40" spans="1:11" x14ac:dyDescent="0.25">
      <c r="A40" s="468"/>
      <c r="B40" s="14" t="s">
        <v>153</v>
      </c>
      <c r="C40" s="9" t="s">
        <v>1958</v>
      </c>
      <c r="D40" s="161">
        <v>3</v>
      </c>
      <c r="E40" s="246">
        <v>151143502</v>
      </c>
      <c r="F40" s="8" t="s">
        <v>2029</v>
      </c>
      <c r="G40" s="9" t="s">
        <v>1956</v>
      </c>
      <c r="H40" s="161" t="s">
        <v>1959</v>
      </c>
      <c r="I40" s="10"/>
      <c r="J40" s="8"/>
      <c r="K40" s="11" t="s">
        <v>1173</v>
      </c>
    </row>
    <row r="41" spans="1:11" x14ac:dyDescent="0.25">
      <c r="A41" s="468"/>
      <c r="B41" s="14" t="s">
        <v>153</v>
      </c>
      <c r="C41" s="9" t="s">
        <v>1958</v>
      </c>
      <c r="D41" s="161">
        <v>4</v>
      </c>
      <c r="E41" s="246">
        <v>2864494</v>
      </c>
      <c r="F41" s="8" t="s">
        <v>2030</v>
      </c>
      <c r="G41" s="9" t="s">
        <v>1956</v>
      </c>
      <c r="H41" s="161" t="s">
        <v>1959</v>
      </c>
      <c r="I41" s="10"/>
      <c r="J41" s="8"/>
      <c r="K41" s="11" t="s">
        <v>2031</v>
      </c>
    </row>
    <row r="42" spans="1:11" x14ac:dyDescent="0.25">
      <c r="A42" s="468"/>
      <c r="B42" s="14" t="s">
        <v>153</v>
      </c>
      <c r="C42" s="9" t="s">
        <v>1954</v>
      </c>
      <c r="D42" s="161">
        <v>4</v>
      </c>
      <c r="E42" s="246">
        <v>47521590</v>
      </c>
      <c r="F42" s="12" t="s">
        <v>2032</v>
      </c>
      <c r="G42" s="9" t="s">
        <v>1956</v>
      </c>
      <c r="H42" s="161">
        <v>4</v>
      </c>
      <c r="I42" s="246">
        <v>47521739</v>
      </c>
      <c r="J42" s="12" t="s">
        <v>2032</v>
      </c>
      <c r="K42" s="162"/>
    </row>
    <row r="43" spans="1:11" x14ac:dyDescent="0.25">
      <c r="A43" s="468"/>
      <c r="B43" s="14" t="s">
        <v>153</v>
      </c>
      <c r="C43" s="9" t="s">
        <v>1954</v>
      </c>
      <c r="D43" s="161">
        <v>4</v>
      </c>
      <c r="E43" s="246">
        <v>175831728</v>
      </c>
      <c r="F43" s="8" t="s">
        <v>2033</v>
      </c>
      <c r="G43" s="9" t="s">
        <v>1956</v>
      </c>
      <c r="H43" s="161">
        <v>4</v>
      </c>
      <c r="I43" s="246">
        <v>175912200</v>
      </c>
      <c r="J43" s="8" t="s">
        <v>2034</v>
      </c>
      <c r="K43" s="11"/>
    </row>
    <row r="44" spans="1:11" x14ac:dyDescent="0.25">
      <c r="A44" s="468"/>
      <c r="B44" s="14" t="s">
        <v>153</v>
      </c>
      <c r="C44" s="9" t="s">
        <v>1975</v>
      </c>
      <c r="D44" s="161">
        <v>5</v>
      </c>
      <c r="E44" s="246">
        <v>19178209</v>
      </c>
      <c r="F44" s="12" t="s">
        <v>2035</v>
      </c>
      <c r="G44" s="9" t="s">
        <v>1956</v>
      </c>
      <c r="H44" s="161">
        <v>17</v>
      </c>
      <c r="I44" s="246">
        <v>38299446</v>
      </c>
      <c r="J44" s="12" t="s">
        <v>2036</v>
      </c>
      <c r="K44" s="162" t="s">
        <v>2037</v>
      </c>
    </row>
    <row r="45" spans="1:11" x14ac:dyDescent="0.25">
      <c r="A45" s="468"/>
      <c r="B45" s="14" t="s">
        <v>153</v>
      </c>
      <c r="C45" s="9" t="s">
        <v>1975</v>
      </c>
      <c r="D45" s="161">
        <v>6</v>
      </c>
      <c r="E45" s="246">
        <v>18769011</v>
      </c>
      <c r="F45" s="8" t="s">
        <v>2038</v>
      </c>
      <c r="G45" s="9" t="s">
        <v>1956</v>
      </c>
      <c r="H45" s="161">
        <v>14</v>
      </c>
      <c r="I45" s="246">
        <v>107224111</v>
      </c>
      <c r="J45" s="8" t="s">
        <v>2039</v>
      </c>
      <c r="K45" s="11"/>
    </row>
    <row r="46" spans="1:11" x14ac:dyDescent="0.25">
      <c r="A46" s="468"/>
      <c r="B46" s="14" t="s">
        <v>153</v>
      </c>
      <c r="C46" s="9" t="s">
        <v>1958</v>
      </c>
      <c r="D46" s="161">
        <v>6</v>
      </c>
      <c r="E46" s="246">
        <v>47117311</v>
      </c>
      <c r="F46" s="8" t="s">
        <v>2040</v>
      </c>
      <c r="G46" s="9" t="s">
        <v>1956</v>
      </c>
      <c r="H46" s="161" t="s">
        <v>1959</v>
      </c>
      <c r="I46" s="10"/>
      <c r="J46" s="8"/>
      <c r="K46" s="11"/>
    </row>
    <row r="47" spans="1:11" x14ac:dyDescent="0.25">
      <c r="A47" s="468"/>
      <c r="B47" s="14" t="s">
        <v>153</v>
      </c>
      <c r="C47" s="9" t="s">
        <v>1954</v>
      </c>
      <c r="D47" s="161">
        <v>6</v>
      </c>
      <c r="E47" s="246">
        <v>108816429</v>
      </c>
      <c r="F47" s="8" t="s">
        <v>2041</v>
      </c>
      <c r="G47" s="9" t="s">
        <v>1956</v>
      </c>
      <c r="H47" s="161">
        <v>6</v>
      </c>
      <c r="I47" s="10">
        <v>108816632</v>
      </c>
      <c r="J47" s="8" t="s">
        <v>2041</v>
      </c>
      <c r="K47" s="11"/>
    </row>
    <row r="48" spans="1:11" x14ac:dyDescent="0.25">
      <c r="A48" s="468"/>
      <c r="B48" s="14" t="s">
        <v>153</v>
      </c>
      <c r="C48" s="9" t="s">
        <v>2042</v>
      </c>
      <c r="D48" s="161">
        <v>6</v>
      </c>
      <c r="E48" s="246">
        <v>111212310</v>
      </c>
      <c r="F48" s="8" t="s">
        <v>2043</v>
      </c>
      <c r="G48" s="9" t="s">
        <v>1956</v>
      </c>
      <c r="H48" s="161">
        <v>6</v>
      </c>
      <c r="I48" s="246">
        <v>112302350</v>
      </c>
      <c r="J48" s="8" t="s">
        <v>2044</v>
      </c>
      <c r="K48" s="11" t="s">
        <v>2045</v>
      </c>
    </row>
    <row r="49" spans="1:11" x14ac:dyDescent="0.25">
      <c r="A49" s="468"/>
      <c r="B49" s="14" t="s">
        <v>153</v>
      </c>
      <c r="C49" s="9" t="s">
        <v>1975</v>
      </c>
      <c r="D49" s="161">
        <v>7</v>
      </c>
      <c r="E49" s="246">
        <v>53985995</v>
      </c>
      <c r="F49" s="8" t="s">
        <v>2046</v>
      </c>
      <c r="G49" s="9" t="s">
        <v>1956</v>
      </c>
      <c r="H49" s="161">
        <v>10</v>
      </c>
      <c r="I49" s="246">
        <v>100878261</v>
      </c>
      <c r="J49" s="8" t="s">
        <v>2047</v>
      </c>
      <c r="K49" s="11" t="s">
        <v>2048</v>
      </c>
    </row>
    <row r="50" spans="1:11" x14ac:dyDescent="0.25">
      <c r="A50" s="468"/>
      <c r="B50" s="14" t="s">
        <v>153</v>
      </c>
      <c r="C50" s="9" t="s">
        <v>1975</v>
      </c>
      <c r="D50" s="161">
        <v>7</v>
      </c>
      <c r="E50" s="246">
        <v>53986014</v>
      </c>
      <c r="F50" s="8" t="s">
        <v>2046</v>
      </c>
      <c r="G50" s="9" t="s">
        <v>1956</v>
      </c>
      <c r="H50" s="161">
        <v>9</v>
      </c>
      <c r="I50" s="246">
        <v>122088685</v>
      </c>
      <c r="J50" s="8" t="s">
        <v>2049</v>
      </c>
      <c r="K50" s="11" t="s">
        <v>2050</v>
      </c>
    </row>
    <row r="51" spans="1:11" x14ac:dyDescent="0.25">
      <c r="A51" s="468"/>
      <c r="B51" s="14" t="s">
        <v>153</v>
      </c>
      <c r="C51" s="9" t="s">
        <v>1958</v>
      </c>
      <c r="D51" s="161">
        <v>7</v>
      </c>
      <c r="E51" s="246">
        <v>84258077</v>
      </c>
      <c r="F51" s="8" t="s">
        <v>2051</v>
      </c>
      <c r="G51" s="9" t="s">
        <v>1956</v>
      </c>
      <c r="H51" s="161" t="s">
        <v>1959</v>
      </c>
      <c r="I51" s="10"/>
      <c r="J51" s="8"/>
      <c r="K51" s="11"/>
    </row>
    <row r="52" spans="1:11" x14ac:dyDescent="0.25">
      <c r="A52" s="468"/>
      <c r="B52" s="14" t="s">
        <v>153</v>
      </c>
      <c r="C52" s="9" t="s">
        <v>1960</v>
      </c>
      <c r="D52" s="161">
        <v>7</v>
      </c>
      <c r="E52" s="246">
        <v>92956643</v>
      </c>
      <c r="F52" s="8" t="s">
        <v>2052</v>
      </c>
      <c r="G52" s="9" t="s">
        <v>1956</v>
      </c>
      <c r="H52" s="161">
        <v>7</v>
      </c>
      <c r="I52" s="246">
        <v>92957770</v>
      </c>
      <c r="J52" s="8" t="s">
        <v>2052</v>
      </c>
      <c r="K52" s="11"/>
    </row>
    <row r="53" spans="1:11" x14ac:dyDescent="0.25">
      <c r="A53" s="468"/>
      <c r="B53" s="14" t="s">
        <v>153</v>
      </c>
      <c r="C53" s="9" t="s">
        <v>1960</v>
      </c>
      <c r="D53" s="161">
        <v>7</v>
      </c>
      <c r="E53" s="246">
        <v>111313645</v>
      </c>
      <c r="F53" s="8" t="s">
        <v>2053</v>
      </c>
      <c r="G53" s="9" t="s">
        <v>1956</v>
      </c>
      <c r="H53" s="161">
        <v>7</v>
      </c>
      <c r="I53" s="246">
        <v>128154086</v>
      </c>
      <c r="J53" s="8" t="s">
        <v>2054</v>
      </c>
      <c r="K53" s="11"/>
    </row>
    <row r="54" spans="1:11" x14ac:dyDescent="0.25">
      <c r="A54" s="468"/>
      <c r="B54" s="14" t="s">
        <v>153</v>
      </c>
      <c r="C54" s="9" t="s">
        <v>1960</v>
      </c>
      <c r="D54" s="161">
        <v>7</v>
      </c>
      <c r="E54" s="246">
        <v>112190218</v>
      </c>
      <c r="F54" s="8" t="s">
        <v>2055</v>
      </c>
      <c r="G54" s="9" t="s">
        <v>1956</v>
      </c>
      <c r="H54" s="161">
        <v>7</v>
      </c>
      <c r="I54" s="246">
        <v>112190447</v>
      </c>
      <c r="J54" s="8" t="s">
        <v>2055</v>
      </c>
      <c r="K54" s="11"/>
    </row>
    <row r="55" spans="1:11" x14ac:dyDescent="0.25">
      <c r="A55" s="468"/>
      <c r="B55" s="14" t="s">
        <v>153</v>
      </c>
      <c r="C55" s="9" t="s">
        <v>1975</v>
      </c>
      <c r="D55" s="161">
        <v>7</v>
      </c>
      <c r="E55" s="246">
        <v>128958385</v>
      </c>
      <c r="F55" s="8" t="s">
        <v>2056</v>
      </c>
      <c r="G55" s="9" t="s">
        <v>1956</v>
      </c>
      <c r="H55" s="161">
        <v>9</v>
      </c>
      <c r="I55" s="246">
        <v>10261</v>
      </c>
      <c r="J55" s="8" t="s">
        <v>2057</v>
      </c>
      <c r="K55" s="11" t="s">
        <v>2058</v>
      </c>
    </row>
    <row r="56" spans="1:11" x14ac:dyDescent="0.25">
      <c r="A56" s="468"/>
      <c r="B56" s="14" t="s">
        <v>153</v>
      </c>
      <c r="C56" s="9" t="s">
        <v>1954</v>
      </c>
      <c r="D56" s="161">
        <v>7</v>
      </c>
      <c r="E56" s="246">
        <v>152832762</v>
      </c>
      <c r="F56" s="8" t="s">
        <v>2059</v>
      </c>
      <c r="G56" s="9" t="s">
        <v>1956</v>
      </c>
      <c r="H56" s="161">
        <v>7</v>
      </c>
      <c r="I56" s="246">
        <v>152846759</v>
      </c>
      <c r="J56" s="8" t="s">
        <v>2059</v>
      </c>
      <c r="K56" s="11"/>
    </row>
    <row r="57" spans="1:11" x14ac:dyDescent="0.25">
      <c r="A57" s="468"/>
      <c r="B57" s="14" t="s">
        <v>153</v>
      </c>
      <c r="C57" s="9" t="s">
        <v>1954</v>
      </c>
      <c r="D57" s="161">
        <v>8</v>
      </c>
      <c r="E57" s="246">
        <v>71214460</v>
      </c>
      <c r="F57" s="8" t="s">
        <v>2060</v>
      </c>
      <c r="G57" s="9" t="s">
        <v>1956</v>
      </c>
      <c r="H57" s="161">
        <v>8</v>
      </c>
      <c r="I57" s="246">
        <v>71214690</v>
      </c>
      <c r="J57" s="8" t="s">
        <v>2060</v>
      </c>
      <c r="K57" s="11"/>
    </row>
    <row r="58" spans="1:11" x14ac:dyDescent="0.25">
      <c r="A58" s="468"/>
      <c r="B58" s="14" t="s">
        <v>153</v>
      </c>
      <c r="C58" s="9" t="s">
        <v>1960</v>
      </c>
      <c r="D58" s="161">
        <v>8</v>
      </c>
      <c r="E58" s="246">
        <v>131829217</v>
      </c>
      <c r="F58" s="8" t="s">
        <v>2061</v>
      </c>
      <c r="G58" s="9" t="s">
        <v>1956</v>
      </c>
      <c r="H58" s="161">
        <v>8</v>
      </c>
      <c r="I58" s="10">
        <v>132028245</v>
      </c>
      <c r="J58" s="8" t="s">
        <v>2061</v>
      </c>
      <c r="K58" s="11" t="s">
        <v>2062</v>
      </c>
    </row>
    <row r="59" spans="1:11" x14ac:dyDescent="0.25">
      <c r="A59" s="468"/>
      <c r="B59" s="14" t="s">
        <v>153</v>
      </c>
      <c r="C59" s="9" t="s">
        <v>1975</v>
      </c>
      <c r="D59" s="161">
        <v>9</v>
      </c>
      <c r="E59" s="246">
        <v>92455561</v>
      </c>
      <c r="F59" s="8" t="s">
        <v>2063</v>
      </c>
      <c r="G59" s="9" t="s">
        <v>1956</v>
      </c>
      <c r="H59" s="161">
        <v>12</v>
      </c>
      <c r="I59" s="246">
        <v>133409073</v>
      </c>
      <c r="J59" s="8" t="s">
        <v>2064</v>
      </c>
      <c r="K59" s="11"/>
    </row>
    <row r="60" spans="1:11" x14ac:dyDescent="0.25">
      <c r="A60" s="468"/>
      <c r="B60" s="14" t="s">
        <v>153</v>
      </c>
      <c r="C60" s="9" t="s">
        <v>2065</v>
      </c>
      <c r="D60" s="161">
        <v>9</v>
      </c>
      <c r="E60" s="246">
        <v>92455638</v>
      </c>
      <c r="F60" s="8" t="s">
        <v>2063</v>
      </c>
      <c r="G60" s="9" t="s">
        <v>1956</v>
      </c>
      <c r="H60" s="161">
        <v>9</v>
      </c>
      <c r="I60" s="10">
        <v>92455658</v>
      </c>
      <c r="J60" s="8" t="s">
        <v>2063</v>
      </c>
      <c r="K60" s="11"/>
    </row>
    <row r="61" spans="1:11" x14ac:dyDescent="0.25">
      <c r="A61" s="468"/>
      <c r="B61" s="14" t="s">
        <v>153</v>
      </c>
      <c r="C61" s="9" t="s">
        <v>1958</v>
      </c>
      <c r="D61" s="161">
        <v>9</v>
      </c>
      <c r="E61" s="246">
        <v>92455658</v>
      </c>
      <c r="F61" s="8" t="s">
        <v>2063</v>
      </c>
      <c r="G61" s="9" t="s">
        <v>1956</v>
      </c>
      <c r="H61" s="161" t="s">
        <v>1959</v>
      </c>
      <c r="I61" s="10"/>
      <c r="J61" s="8"/>
      <c r="K61" s="11"/>
    </row>
    <row r="62" spans="1:11" x14ac:dyDescent="0.25">
      <c r="A62" s="468"/>
      <c r="B62" s="14" t="s">
        <v>153</v>
      </c>
      <c r="C62" s="9" t="s">
        <v>1975</v>
      </c>
      <c r="D62" s="161">
        <v>9</v>
      </c>
      <c r="E62" s="246">
        <v>122088418</v>
      </c>
      <c r="F62" s="8" t="s">
        <v>2066</v>
      </c>
      <c r="G62" s="9" t="s">
        <v>1956</v>
      </c>
      <c r="H62" s="161">
        <v>21</v>
      </c>
      <c r="I62" s="246">
        <v>43426375</v>
      </c>
      <c r="J62" s="8" t="s">
        <v>2067</v>
      </c>
      <c r="K62" s="11" t="s">
        <v>2068</v>
      </c>
    </row>
    <row r="63" spans="1:11" x14ac:dyDescent="0.25">
      <c r="A63" s="468"/>
      <c r="B63" s="14" t="s">
        <v>153</v>
      </c>
      <c r="C63" s="9" t="s">
        <v>1975</v>
      </c>
      <c r="D63" s="161">
        <v>9</v>
      </c>
      <c r="E63" s="246">
        <v>122088835</v>
      </c>
      <c r="F63" s="8" t="s">
        <v>2066</v>
      </c>
      <c r="G63" s="9" t="s">
        <v>1956</v>
      </c>
      <c r="H63" s="9">
        <v>10</v>
      </c>
      <c r="I63" s="10">
        <v>100878359</v>
      </c>
      <c r="J63" s="8" t="s">
        <v>2047</v>
      </c>
      <c r="K63" s="11" t="s">
        <v>2069</v>
      </c>
    </row>
    <row r="64" spans="1:11" x14ac:dyDescent="0.25">
      <c r="A64" s="468"/>
      <c r="B64" s="14" t="s">
        <v>153</v>
      </c>
      <c r="C64" s="9" t="s">
        <v>1960</v>
      </c>
      <c r="D64" s="9">
        <v>10</v>
      </c>
      <c r="E64" s="10">
        <v>2134507</v>
      </c>
      <c r="F64" s="8" t="s">
        <v>2070</v>
      </c>
      <c r="G64" s="9" t="s">
        <v>1956</v>
      </c>
      <c r="H64" s="9">
        <v>10</v>
      </c>
      <c r="I64" s="10">
        <v>2140333</v>
      </c>
      <c r="J64" s="8" t="s">
        <v>2070</v>
      </c>
      <c r="K64" s="11"/>
    </row>
    <row r="65" spans="1:11" x14ac:dyDescent="0.25">
      <c r="A65" s="468"/>
      <c r="B65" s="14" t="s">
        <v>153</v>
      </c>
      <c r="C65" s="9" t="s">
        <v>1975</v>
      </c>
      <c r="D65" s="161">
        <v>11</v>
      </c>
      <c r="E65" s="246">
        <v>66853656</v>
      </c>
      <c r="F65" s="8" t="s">
        <v>2071</v>
      </c>
      <c r="G65" s="9" t="s">
        <v>1956</v>
      </c>
      <c r="H65" s="161">
        <v>14</v>
      </c>
      <c r="I65" s="246">
        <v>56901374</v>
      </c>
      <c r="J65" s="8" t="s">
        <v>2072</v>
      </c>
      <c r="K65" s="11"/>
    </row>
    <row r="66" spans="1:11" x14ac:dyDescent="0.25">
      <c r="A66" s="468"/>
      <c r="B66" s="14" t="s">
        <v>153</v>
      </c>
      <c r="C66" s="9" t="s">
        <v>1954</v>
      </c>
      <c r="D66" s="161">
        <v>11</v>
      </c>
      <c r="E66" s="246">
        <v>94541902</v>
      </c>
      <c r="F66" s="12" t="s">
        <v>2073</v>
      </c>
      <c r="G66" s="9" t="s">
        <v>1956</v>
      </c>
      <c r="H66" s="161">
        <v>11</v>
      </c>
      <c r="I66" s="246">
        <v>94554246</v>
      </c>
      <c r="J66" s="12" t="s">
        <v>2073</v>
      </c>
      <c r="K66" s="162" t="s">
        <v>2074</v>
      </c>
    </row>
    <row r="67" spans="1:11" x14ac:dyDescent="0.25">
      <c r="A67" s="468"/>
      <c r="B67" s="14" t="s">
        <v>153</v>
      </c>
      <c r="C67" s="9" t="s">
        <v>1958</v>
      </c>
      <c r="D67" s="161">
        <v>12</v>
      </c>
      <c r="E67" s="246">
        <v>31493303</v>
      </c>
      <c r="F67" s="8" t="s">
        <v>2075</v>
      </c>
      <c r="G67" s="9" t="s">
        <v>1956</v>
      </c>
      <c r="H67" s="161" t="s">
        <v>1959</v>
      </c>
      <c r="I67" s="10"/>
      <c r="J67" s="8"/>
      <c r="K67" s="11"/>
    </row>
    <row r="68" spans="1:11" x14ac:dyDescent="0.25">
      <c r="A68" s="468"/>
      <c r="B68" s="14" t="s">
        <v>153</v>
      </c>
      <c r="C68" s="9" t="s">
        <v>1964</v>
      </c>
      <c r="D68" s="161">
        <v>12</v>
      </c>
      <c r="E68" s="246">
        <v>109981530</v>
      </c>
      <c r="F68" s="8" t="s">
        <v>2076</v>
      </c>
      <c r="G68" s="9" t="s">
        <v>1956</v>
      </c>
      <c r="H68" s="161">
        <v>12</v>
      </c>
      <c r="I68" s="246">
        <v>110010406</v>
      </c>
      <c r="J68" s="8" t="s">
        <v>2077</v>
      </c>
      <c r="K68" s="11" t="s">
        <v>2078</v>
      </c>
    </row>
    <row r="69" spans="1:11" x14ac:dyDescent="0.25">
      <c r="A69" s="468"/>
      <c r="B69" s="14" t="s">
        <v>153</v>
      </c>
      <c r="C69" s="9" t="s">
        <v>1964</v>
      </c>
      <c r="D69" s="161">
        <v>12</v>
      </c>
      <c r="E69" s="246">
        <v>110010502</v>
      </c>
      <c r="F69" s="8" t="s">
        <v>2077</v>
      </c>
      <c r="G69" s="9" t="s">
        <v>1956</v>
      </c>
      <c r="H69" s="161">
        <v>12</v>
      </c>
      <c r="I69" s="246">
        <v>110010888</v>
      </c>
      <c r="J69" s="8" t="s">
        <v>2077</v>
      </c>
      <c r="K69" s="11" t="s">
        <v>2078</v>
      </c>
    </row>
    <row r="70" spans="1:11" x14ac:dyDescent="0.25">
      <c r="A70" s="468"/>
      <c r="B70" s="14" t="s">
        <v>153</v>
      </c>
      <c r="C70" s="9" t="s">
        <v>1958</v>
      </c>
      <c r="D70" s="161">
        <v>14</v>
      </c>
      <c r="E70" s="246">
        <v>32301886</v>
      </c>
      <c r="F70" s="8" t="s">
        <v>2079</v>
      </c>
      <c r="G70" s="9" t="s">
        <v>1956</v>
      </c>
      <c r="H70" s="161" t="s">
        <v>1959</v>
      </c>
      <c r="I70" s="10"/>
      <c r="J70" s="8"/>
      <c r="K70" s="11" t="s">
        <v>1571</v>
      </c>
    </row>
    <row r="71" spans="1:11" x14ac:dyDescent="0.25">
      <c r="A71" s="468"/>
      <c r="B71" s="14" t="s">
        <v>153</v>
      </c>
      <c r="C71" s="9" t="s">
        <v>1960</v>
      </c>
      <c r="D71" s="9">
        <v>14</v>
      </c>
      <c r="E71" s="10">
        <v>44107203</v>
      </c>
      <c r="F71" s="8" t="s">
        <v>2080</v>
      </c>
      <c r="G71" s="9" t="s">
        <v>1956</v>
      </c>
      <c r="H71" s="9">
        <v>14</v>
      </c>
      <c r="I71" s="10">
        <v>44110018</v>
      </c>
      <c r="J71" s="8" t="s">
        <v>2080</v>
      </c>
      <c r="K71" s="11"/>
    </row>
    <row r="72" spans="1:11" x14ac:dyDescent="0.25">
      <c r="A72" s="468"/>
      <c r="B72" s="14" t="s">
        <v>153</v>
      </c>
      <c r="C72" s="9" t="s">
        <v>1964</v>
      </c>
      <c r="D72" s="161">
        <v>14</v>
      </c>
      <c r="E72" s="246">
        <v>97276630</v>
      </c>
      <c r="F72" s="8" t="s">
        <v>2081</v>
      </c>
      <c r="G72" s="9" t="s">
        <v>1956</v>
      </c>
      <c r="H72" s="161">
        <v>14</v>
      </c>
      <c r="I72" s="246">
        <v>97288641</v>
      </c>
      <c r="J72" s="8" t="s">
        <v>2081</v>
      </c>
      <c r="K72" s="11" t="s">
        <v>2082</v>
      </c>
    </row>
    <row r="73" spans="1:11" x14ac:dyDescent="0.25">
      <c r="A73" s="468"/>
      <c r="B73" s="14" t="s">
        <v>153</v>
      </c>
      <c r="C73" s="9" t="s">
        <v>1958</v>
      </c>
      <c r="D73" s="161">
        <v>14</v>
      </c>
      <c r="E73" s="246">
        <v>97276912</v>
      </c>
      <c r="F73" s="8" t="s">
        <v>2081</v>
      </c>
      <c r="G73" s="9" t="s">
        <v>1956</v>
      </c>
      <c r="H73" s="161" t="s">
        <v>2083</v>
      </c>
      <c r="I73" s="246">
        <v>132816</v>
      </c>
      <c r="J73" s="8"/>
      <c r="K73" s="11" t="s">
        <v>2082</v>
      </c>
    </row>
    <row r="74" spans="1:11" x14ac:dyDescent="0.25">
      <c r="A74" s="468"/>
      <c r="B74" s="14" t="s">
        <v>153</v>
      </c>
      <c r="C74" s="9" t="s">
        <v>1958</v>
      </c>
      <c r="D74" s="161">
        <v>14</v>
      </c>
      <c r="E74" s="246">
        <v>97276987</v>
      </c>
      <c r="F74" s="8" t="s">
        <v>2081</v>
      </c>
      <c r="G74" s="9" t="s">
        <v>1956</v>
      </c>
      <c r="H74" s="161" t="s">
        <v>2083</v>
      </c>
      <c r="I74" s="246">
        <v>144478</v>
      </c>
      <c r="J74" s="8"/>
      <c r="K74" s="11" t="s">
        <v>2082</v>
      </c>
    </row>
    <row r="75" spans="1:11" x14ac:dyDescent="0.25">
      <c r="A75" s="468"/>
      <c r="B75" s="14" t="s">
        <v>153</v>
      </c>
      <c r="C75" s="9" t="s">
        <v>1954</v>
      </c>
      <c r="D75" s="9">
        <v>15</v>
      </c>
      <c r="E75" s="10">
        <v>52368207</v>
      </c>
      <c r="F75" s="8" t="s">
        <v>2084</v>
      </c>
      <c r="G75" s="9" t="s">
        <v>1956</v>
      </c>
      <c r="H75" s="9">
        <v>15</v>
      </c>
      <c r="I75" s="10">
        <v>52375796</v>
      </c>
      <c r="J75" s="8" t="s">
        <v>2084</v>
      </c>
      <c r="K75" s="11"/>
    </row>
    <row r="76" spans="1:11" x14ac:dyDescent="0.25">
      <c r="A76" s="468"/>
      <c r="B76" s="14" t="s">
        <v>153</v>
      </c>
      <c r="C76" s="9" t="s">
        <v>1964</v>
      </c>
      <c r="D76" s="9">
        <v>19</v>
      </c>
      <c r="E76" s="10">
        <v>1849938</v>
      </c>
      <c r="F76" s="8" t="s">
        <v>2085</v>
      </c>
      <c r="G76" s="9" t="s">
        <v>1956</v>
      </c>
      <c r="H76" s="9">
        <v>19</v>
      </c>
      <c r="I76" s="10">
        <v>1873425</v>
      </c>
      <c r="J76" s="8" t="s">
        <v>2086</v>
      </c>
      <c r="K76" s="11"/>
    </row>
    <row r="77" spans="1:11" x14ac:dyDescent="0.25">
      <c r="A77" s="468"/>
      <c r="B77" s="14" t="s">
        <v>153</v>
      </c>
      <c r="C77" s="9" t="s">
        <v>1960</v>
      </c>
      <c r="D77" s="9">
        <v>19</v>
      </c>
      <c r="E77" s="10">
        <v>1850397</v>
      </c>
      <c r="F77" s="8" t="s">
        <v>2085</v>
      </c>
      <c r="G77" s="9" t="s">
        <v>1956</v>
      </c>
      <c r="H77" s="9">
        <v>19</v>
      </c>
      <c r="I77" s="10">
        <v>1850619</v>
      </c>
      <c r="J77" s="8" t="s">
        <v>2085</v>
      </c>
      <c r="K77" s="11"/>
    </row>
    <row r="78" spans="1:11" x14ac:dyDescent="0.25">
      <c r="A78" s="468"/>
      <c r="B78" s="14" t="s">
        <v>153</v>
      </c>
      <c r="C78" s="9" t="s">
        <v>1964</v>
      </c>
      <c r="D78" s="9">
        <v>19</v>
      </c>
      <c r="E78" s="10">
        <v>1850802</v>
      </c>
      <c r="F78" s="8" t="s">
        <v>2085</v>
      </c>
      <c r="G78" s="9" t="s">
        <v>1956</v>
      </c>
      <c r="H78" s="9">
        <v>19</v>
      </c>
      <c r="I78" s="10">
        <v>1873826</v>
      </c>
      <c r="J78" s="8" t="s">
        <v>2086</v>
      </c>
      <c r="K78" s="11"/>
    </row>
    <row r="79" spans="1:11" x14ac:dyDescent="0.25">
      <c r="A79" s="468"/>
      <c r="B79" s="14" t="s">
        <v>153</v>
      </c>
      <c r="C79" s="9" t="s">
        <v>1954</v>
      </c>
      <c r="D79" s="161">
        <v>20</v>
      </c>
      <c r="E79" s="246">
        <v>1808270</v>
      </c>
      <c r="F79" s="8" t="s">
        <v>2087</v>
      </c>
      <c r="G79" s="9" t="s">
        <v>1956</v>
      </c>
      <c r="H79" s="161">
        <v>20</v>
      </c>
      <c r="I79" s="246">
        <v>1841816</v>
      </c>
      <c r="J79" s="8" t="s">
        <v>2087</v>
      </c>
      <c r="K79" s="11"/>
    </row>
    <row r="80" spans="1:11" x14ac:dyDescent="0.25">
      <c r="A80" s="468"/>
      <c r="B80" s="14" t="s">
        <v>153</v>
      </c>
      <c r="C80" s="9" t="s">
        <v>1954</v>
      </c>
      <c r="D80" s="161">
        <v>21</v>
      </c>
      <c r="E80" s="246">
        <v>33921493</v>
      </c>
      <c r="F80" s="8" t="s">
        <v>2088</v>
      </c>
      <c r="G80" s="9" t="s">
        <v>1956</v>
      </c>
      <c r="H80" s="161">
        <v>21</v>
      </c>
      <c r="I80" s="246">
        <v>33974669</v>
      </c>
      <c r="J80" s="8" t="s">
        <v>2089</v>
      </c>
      <c r="K80" s="11"/>
    </row>
    <row r="81" spans="1:11" x14ac:dyDescent="0.25">
      <c r="A81" s="468"/>
      <c r="B81" s="14" t="s">
        <v>153</v>
      </c>
      <c r="C81" s="9" t="s">
        <v>1960</v>
      </c>
      <c r="D81" s="9">
        <v>22</v>
      </c>
      <c r="E81" s="10">
        <v>39435537</v>
      </c>
      <c r="F81" s="8" t="s">
        <v>2090</v>
      </c>
      <c r="G81" s="9" t="s">
        <v>1956</v>
      </c>
      <c r="H81" s="9">
        <v>22</v>
      </c>
      <c r="I81" s="10">
        <v>39472365</v>
      </c>
      <c r="J81" s="8" t="s">
        <v>2091</v>
      </c>
      <c r="K81" s="11"/>
    </row>
    <row r="82" spans="1:11" ht="15.75" thickBot="1" x14ac:dyDescent="0.3">
      <c r="A82" s="469"/>
      <c r="B82" s="163" t="s">
        <v>153</v>
      </c>
      <c r="C82" s="164" t="s">
        <v>1964</v>
      </c>
      <c r="D82" s="165" t="s">
        <v>379</v>
      </c>
      <c r="E82" s="247">
        <v>26102823</v>
      </c>
      <c r="F82" s="166" t="s">
        <v>2092</v>
      </c>
      <c r="G82" s="164" t="s">
        <v>1956</v>
      </c>
      <c r="H82" s="165" t="s">
        <v>379</v>
      </c>
      <c r="I82" s="247">
        <v>26126437</v>
      </c>
      <c r="J82" s="166" t="s">
        <v>2092</v>
      </c>
      <c r="K82" s="318"/>
    </row>
    <row r="83" spans="1:11" x14ac:dyDescent="0.25">
      <c r="A83" s="471" t="s">
        <v>4147</v>
      </c>
      <c r="B83" s="167" t="s">
        <v>22</v>
      </c>
      <c r="C83" s="168" t="s">
        <v>1975</v>
      </c>
      <c r="D83" s="169">
        <v>1</v>
      </c>
      <c r="E83" s="248">
        <v>203711315</v>
      </c>
      <c r="F83" s="170" t="s">
        <v>2093</v>
      </c>
      <c r="G83" s="171" t="s">
        <v>2094</v>
      </c>
      <c r="H83" s="169">
        <v>5</v>
      </c>
      <c r="I83" s="248">
        <v>45124314</v>
      </c>
      <c r="J83" s="170" t="s">
        <v>2095</v>
      </c>
      <c r="K83" s="172" t="s">
        <v>2096</v>
      </c>
    </row>
    <row r="84" spans="1:11" x14ac:dyDescent="0.25">
      <c r="A84" s="472"/>
      <c r="B84" s="167" t="s">
        <v>22</v>
      </c>
      <c r="C84" s="168" t="s">
        <v>1975</v>
      </c>
      <c r="D84" s="169">
        <v>1</v>
      </c>
      <c r="E84" s="248">
        <v>203711332</v>
      </c>
      <c r="F84" s="170" t="s">
        <v>2097</v>
      </c>
      <c r="G84" s="171" t="s">
        <v>2094</v>
      </c>
      <c r="H84" s="169">
        <v>5</v>
      </c>
      <c r="I84" s="248">
        <v>11112856</v>
      </c>
      <c r="J84" s="170" t="s">
        <v>2098</v>
      </c>
      <c r="K84" s="172" t="s">
        <v>2099</v>
      </c>
    </row>
    <row r="85" spans="1:11" x14ac:dyDescent="0.25">
      <c r="A85" s="472"/>
      <c r="B85" s="167" t="s">
        <v>22</v>
      </c>
      <c r="C85" s="168" t="s">
        <v>1975</v>
      </c>
      <c r="D85" s="169">
        <v>2</v>
      </c>
      <c r="E85" s="248">
        <v>59270357</v>
      </c>
      <c r="F85" s="170" t="s">
        <v>2100</v>
      </c>
      <c r="G85" s="171" t="s">
        <v>2094</v>
      </c>
      <c r="H85" s="169">
        <v>5</v>
      </c>
      <c r="I85" s="248">
        <v>31823720</v>
      </c>
      <c r="J85" s="170" t="s">
        <v>2101</v>
      </c>
      <c r="K85" s="172" t="s">
        <v>2102</v>
      </c>
    </row>
    <row r="86" spans="1:11" x14ac:dyDescent="0.25">
      <c r="A86" s="472"/>
      <c r="B86" s="167" t="s">
        <v>22</v>
      </c>
      <c r="C86" s="168" t="s">
        <v>1960</v>
      </c>
      <c r="D86" s="169">
        <v>1</v>
      </c>
      <c r="E86" s="248">
        <v>9235418</v>
      </c>
      <c r="F86" s="170" t="s">
        <v>2103</v>
      </c>
      <c r="G86" s="171" t="s">
        <v>2094</v>
      </c>
      <c r="H86" s="169">
        <v>1</v>
      </c>
      <c r="I86" s="248">
        <v>119698372</v>
      </c>
      <c r="J86" s="170" t="s">
        <v>2104</v>
      </c>
      <c r="K86" s="172" t="s">
        <v>2105</v>
      </c>
    </row>
    <row r="87" spans="1:11" x14ac:dyDescent="0.25">
      <c r="A87" s="472"/>
      <c r="B87" s="167" t="s">
        <v>22</v>
      </c>
      <c r="C87" s="168" t="s">
        <v>1960</v>
      </c>
      <c r="D87" s="169">
        <v>2</v>
      </c>
      <c r="E87" s="248">
        <v>67330434</v>
      </c>
      <c r="F87" s="170" t="s">
        <v>2106</v>
      </c>
      <c r="G87" s="171" t="s">
        <v>2094</v>
      </c>
      <c r="H87" s="169">
        <v>2</v>
      </c>
      <c r="I87" s="248">
        <v>67405115</v>
      </c>
      <c r="J87" s="170" t="s">
        <v>2106</v>
      </c>
      <c r="K87" s="172" t="s">
        <v>2107</v>
      </c>
    </row>
    <row r="88" spans="1:11" x14ac:dyDescent="0.25">
      <c r="A88" s="472"/>
      <c r="B88" s="167" t="s">
        <v>22</v>
      </c>
      <c r="C88" s="168" t="s">
        <v>1954</v>
      </c>
      <c r="D88" s="169">
        <v>4</v>
      </c>
      <c r="E88" s="248">
        <v>33973762</v>
      </c>
      <c r="F88" s="170" t="s">
        <v>2108</v>
      </c>
      <c r="G88" s="171" t="s">
        <v>2094</v>
      </c>
      <c r="H88" s="169">
        <v>4</v>
      </c>
      <c r="I88" s="248">
        <v>33984439</v>
      </c>
      <c r="J88" s="170" t="s">
        <v>2108</v>
      </c>
      <c r="K88" s="172" t="s">
        <v>2109</v>
      </c>
    </row>
    <row r="89" spans="1:11" x14ac:dyDescent="0.25">
      <c r="A89" s="472"/>
      <c r="B89" s="167" t="s">
        <v>22</v>
      </c>
      <c r="C89" s="168" t="s">
        <v>1960</v>
      </c>
      <c r="D89" s="169">
        <v>4</v>
      </c>
      <c r="E89" s="248">
        <v>158984554</v>
      </c>
      <c r="F89" s="170" t="s">
        <v>2110</v>
      </c>
      <c r="G89" s="171" t="s">
        <v>2094</v>
      </c>
      <c r="H89" s="169">
        <v>4</v>
      </c>
      <c r="I89" s="248">
        <v>158984616</v>
      </c>
      <c r="J89" s="21" t="s">
        <v>2110</v>
      </c>
      <c r="K89" s="172"/>
    </row>
    <row r="90" spans="1:11" x14ac:dyDescent="0.25">
      <c r="A90" s="472"/>
      <c r="B90" s="167" t="s">
        <v>22</v>
      </c>
      <c r="C90" s="168" t="s">
        <v>1954</v>
      </c>
      <c r="D90" s="169">
        <v>5</v>
      </c>
      <c r="E90" s="248">
        <v>1183529</v>
      </c>
      <c r="F90" s="170" t="s">
        <v>2111</v>
      </c>
      <c r="G90" s="171" t="s">
        <v>2094</v>
      </c>
      <c r="H90" s="169">
        <v>5</v>
      </c>
      <c r="I90" s="248">
        <v>176456892</v>
      </c>
      <c r="J90" s="170" t="s">
        <v>2112</v>
      </c>
      <c r="K90" s="172" t="s">
        <v>2113</v>
      </c>
    </row>
    <row r="91" spans="1:11" x14ac:dyDescent="0.25">
      <c r="A91" s="472"/>
      <c r="B91" s="167" t="s">
        <v>22</v>
      </c>
      <c r="C91" s="168" t="s">
        <v>1960</v>
      </c>
      <c r="D91" s="169">
        <v>5</v>
      </c>
      <c r="E91" s="248">
        <v>1445031</v>
      </c>
      <c r="F91" s="21" t="s">
        <v>2736</v>
      </c>
      <c r="G91" s="171" t="s">
        <v>2094</v>
      </c>
      <c r="H91" s="169">
        <v>5</v>
      </c>
      <c r="I91" s="248">
        <v>44416157</v>
      </c>
      <c r="J91" s="170" t="s">
        <v>2114</v>
      </c>
      <c r="K91" s="172" t="s">
        <v>2738</v>
      </c>
    </row>
    <row r="92" spans="1:11" x14ac:dyDescent="0.25">
      <c r="A92" s="472"/>
      <c r="B92" s="167" t="s">
        <v>22</v>
      </c>
      <c r="C92" s="168" t="s">
        <v>1964</v>
      </c>
      <c r="D92" s="169">
        <v>5</v>
      </c>
      <c r="E92" s="248">
        <v>10961903</v>
      </c>
      <c r="F92" s="170" t="s">
        <v>2115</v>
      </c>
      <c r="G92" s="171" t="s">
        <v>2094</v>
      </c>
      <c r="H92" s="169">
        <v>5</v>
      </c>
      <c r="I92" s="248">
        <v>11261827</v>
      </c>
      <c r="J92" s="170" t="s">
        <v>2098</v>
      </c>
      <c r="K92" s="172" t="s">
        <v>2116</v>
      </c>
    </row>
    <row r="93" spans="1:11" x14ac:dyDescent="0.25">
      <c r="A93" s="472"/>
      <c r="B93" s="167" t="s">
        <v>22</v>
      </c>
      <c r="C93" s="168" t="s">
        <v>1960</v>
      </c>
      <c r="D93" s="169">
        <v>5</v>
      </c>
      <c r="E93" s="248">
        <v>11328449</v>
      </c>
      <c r="F93" s="170" t="s">
        <v>2098</v>
      </c>
      <c r="G93" s="171" t="s">
        <v>2094</v>
      </c>
      <c r="H93" s="169">
        <v>5</v>
      </c>
      <c r="I93" s="248">
        <v>68590179</v>
      </c>
      <c r="J93" s="170" t="s">
        <v>2117</v>
      </c>
      <c r="K93" s="172" t="s">
        <v>2118</v>
      </c>
    </row>
    <row r="94" spans="1:11" x14ac:dyDescent="0.25">
      <c r="A94" s="472"/>
      <c r="B94" s="167" t="s">
        <v>22</v>
      </c>
      <c r="C94" s="168" t="s">
        <v>1964</v>
      </c>
      <c r="D94" s="169">
        <v>5</v>
      </c>
      <c r="E94" s="248">
        <v>56303369</v>
      </c>
      <c r="F94" s="170" t="s">
        <v>2119</v>
      </c>
      <c r="G94" s="171" t="s">
        <v>2094</v>
      </c>
      <c r="H94" s="169">
        <v>5</v>
      </c>
      <c r="I94" s="248">
        <v>176360112</v>
      </c>
      <c r="J94" s="170" t="s">
        <v>2120</v>
      </c>
      <c r="K94" s="172" t="s">
        <v>2121</v>
      </c>
    </row>
    <row r="95" spans="1:11" x14ac:dyDescent="0.25">
      <c r="A95" s="472"/>
      <c r="B95" s="167" t="s">
        <v>22</v>
      </c>
      <c r="C95" s="168" t="s">
        <v>1964</v>
      </c>
      <c r="D95" s="169">
        <v>5</v>
      </c>
      <c r="E95" s="248">
        <v>56831094</v>
      </c>
      <c r="F95" s="170" t="s">
        <v>2122</v>
      </c>
      <c r="G95" s="171" t="s">
        <v>2094</v>
      </c>
      <c r="H95" s="169">
        <v>5</v>
      </c>
      <c r="I95" s="248">
        <v>68749866</v>
      </c>
      <c r="J95" s="170" t="s">
        <v>2123</v>
      </c>
      <c r="K95" s="172"/>
    </row>
    <row r="96" spans="1:11" x14ac:dyDescent="0.25">
      <c r="A96" s="472"/>
      <c r="B96" s="167" t="s">
        <v>22</v>
      </c>
      <c r="C96" s="168" t="s">
        <v>1960</v>
      </c>
      <c r="D96" s="169">
        <v>5</v>
      </c>
      <c r="E96" s="248">
        <v>106953345</v>
      </c>
      <c r="F96" s="170" t="s">
        <v>2124</v>
      </c>
      <c r="G96" s="171" t="s">
        <v>2094</v>
      </c>
      <c r="H96" s="169">
        <v>5</v>
      </c>
      <c r="I96" s="248">
        <v>106955641</v>
      </c>
      <c r="J96" s="170" t="s">
        <v>2124</v>
      </c>
      <c r="K96" s="172"/>
    </row>
    <row r="97" spans="1:11" x14ac:dyDescent="0.25">
      <c r="A97" s="472"/>
      <c r="B97" s="167" t="s">
        <v>22</v>
      </c>
      <c r="C97" s="168" t="s">
        <v>1954</v>
      </c>
      <c r="D97" s="169">
        <v>7</v>
      </c>
      <c r="E97" s="248">
        <v>116313312</v>
      </c>
      <c r="F97" s="170" t="s">
        <v>2125</v>
      </c>
      <c r="G97" s="171" t="s">
        <v>2094</v>
      </c>
      <c r="H97" s="169">
        <v>7</v>
      </c>
      <c r="I97" s="248">
        <v>116515968</v>
      </c>
      <c r="J97" s="170" t="s">
        <v>2126</v>
      </c>
      <c r="K97" s="172" t="s">
        <v>2127</v>
      </c>
    </row>
    <row r="98" spans="1:11" x14ac:dyDescent="0.25">
      <c r="A98" s="472"/>
      <c r="B98" s="167" t="s">
        <v>22</v>
      </c>
      <c r="C98" s="168" t="s">
        <v>1960</v>
      </c>
      <c r="D98" s="169">
        <v>8</v>
      </c>
      <c r="E98" s="248">
        <v>59940857</v>
      </c>
      <c r="F98" s="170" t="s">
        <v>2128</v>
      </c>
      <c r="G98" s="171" t="s">
        <v>2094</v>
      </c>
      <c r="H98" s="169">
        <v>8</v>
      </c>
      <c r="I98" s="248">
        <v>59948506</v>
      </c>
      <c r="J98" s="170" t="s">
        <v>2128</v>
      </c>
      <c r="K98" s="172"/>
    </row>
    <row r="99" spans="1:11" x14ac:dyDescent="0.25">
      <c r="A99" s="472"/>
      <c r="B99" s="167" t="s">
        <v>22</v>
      </c>
      <c r="C99" s="168" t="s">
        <v>1954</v>
      </c>
      <c r="D99" s="169">
        <v>12</v>
      </c>
      <c r="E99" s="248">
        <v>114952413</v>
      </c>
      <c r="F99" s="170" t="s">
        <v>2129</v>
      </c>
      <c r="G99" s="171" t="s">
        <v>2094</v>
      </c>
      <c r="H99" s="169">
        <v>12</v>
      </c>
      <c r="I99" s="248">
        <v>114952521</v>
      </c>
      <c r="J99" s="170" t="s">
        <v>2129</v>
      </c>
      <c r="K99" s="172"/>
    </row>
    <row r="100" spans="1:11" x14ac:dyDescent="0.25">
      <c r="A100" s="472"/>
      <c r="B100" s="167" t="s">
        <v>22</v>
      </c>
      <c r="C100" s="168" t="s">
        <v>1954</v>
      </c>
      <c r="D100" s="169">
        <v>14</v>
      </c>
      <c r="E100" s="248">
        <v>88168981</v>
      </c>
      <c r="F100" s="170" t="s">
        <v>2130</v>
      </c>
      <c r="G100" s="171" t="s">
        <v>2094</v>
      </c>
      <c r="H100" s="169">
        <v>14</v>
      </c>
      <c r="I100" s="248">
        <v>88311010</v>
      </c>
      <c r="J100" s="170" t="s">
        <v>2130</v>
      </c>
      <c r="K100" s="172"/>
    </row>
    <row r="101" spans="1:11" x14ac:dyDescent="0.25">
      <c r="A101" s="472"/>
      <c r="B101" s="167" t="s">
        <v>22</v>
      </c>
      <c r="C101" s="168" t="s">
        <v>1958</v>
      </c>
      <c r="D101" s="169" t="s">
        <v>2131</v>
      </c>
      <c r="E101" s="248">
        <v>89343158</v>
      </c>
      <c r="F101" s="170" t="s">
        <v>2132</v>
      </c>
      <c r="G101" s="171" t="s">
        <v>2094</v>
      </c>
      <c r="H101" s="168" t="s">
        <v>379</v>
      </c>
      <c r="I101" s="248" t="s">
        <v>2133</v>
      </c>
      <c r="J101" s="170"/>
      <c r="K101" s="172"/>
    </row>
    <row r="102" spans="1:11" x14ac:dyDescent="0.25">
      <c r="A102" s="472"/>
      <c r="B102" s="167" t="s">
        <v>22</v>
      </c>
      <c r="C102" s="168" t="s">
        <v>1958</v>
      </c>
      <c r="D102" s="169" t="s">
        <v>2131</v>
      </c>
      <c r="E102" s="248">
        <v>89343171</v>
      </c>
      <c r="F102" s="170" t="s">
        <v>2132</v>
      </c>
      <c r="G102" s="171" t="s">
        <v>2094</v>
      </c>
      <c r="H102" s="168" t="s">
        <v>379</v>
      </c>
      <c r="I102" s="248" t="s">
        <v>2133</v>
      </c>
      <c r="J102" s="170"/>
      <c r="K102" s="172"/>
    </row>
    <row r="103" spans="1:11" x14ac:dyDescent="0.25">
      <c r="A103" s="472"/>
      <c r="B103" s="167" t="s">
        <v>22</v>
      </c>
      <c r="C103" s="168" t="s">
        <v>1954</v>
      </c>
      <c r="D103" s="169" t="s">
        <v>379</v>
      </c>
      <c r="E103" s="248">
        <v>93679454</v>
      </c>
      <c r="F103" s="170" t="s">
        <v>2134</v>
      </c>
      <c r="G103" s="171" t="s">
        <v>2094</v>
      </c>
      <c r="H103" s="169" t="s">
        <v>379</v>
      </c>
      <c r="I103" s="272">
        <v>93686156</v>
      </c>
      <c r="J103" s="170" t="s">
        <v>2134</v>
      </c>
      <c r="K103" s="172"/>
    </row>
    <row r="104" spans="1:11" x14ac:dyDescent="0.25">
      <c r="A104" s="472"/>
      <c r="B104" s="167" t="s">
        <v>22</v>
      </c>
      <c r="C104" s="168" t="s">
        <v>1954</v>
      </c>
      <c r="D104" s="169" t="s">
        <v>379</v>
      </c>
      <c r="E104" s="248">
        <v>107173577</v>
      </c>
      <c r="F104" s="173" t="s">
        <v>2135</v>
      </c>
      <c r="G104" s="171" t="s">
        <v>2094</v>
      </c>
      <c r="H104" s="169" t="s">
        <v>379</v>
      </c>
      <c r="I104" s="248">
        <f xml:space="preserve"> E104+61</f>
        <v>107173638</v>
      </c>
      <c r="J104" s="173" t="s">
        <v>2135</v>
      </c>
      <c r="K104" s="174" t="s">
        <v>2136</v>
      </c>
    </row>
    <row r="105" spans="1:11" x14ac:dyDescent="0.25">
      <c r="A105" s="472"/>
      <c r="B105" s="175" t="s">
        <v>504</v>
      </c>
      <c r="C105" s="23" t="s">
        <v>1954</v>
      </c>
      <c r="D105" s="23">
        <v>9</v>
      </c>
      <c r="E105" s="249">
        <v>8796727</v>
      </c>
      <c r="F105" s="175" t="s">
        <v>2137</v>
      </c>
      <c r="G105" s="23" t="s">
        <v>1956</v>
      </c>
      <c r="H105" s="23">
        <v>9</v>
      </c>
      <c r="I105" s="249">
        <v>8797164</v>
      </c>
      <c r="J105" s="22" t="s">
        <v>2137</v>
      </c>
      <c r="K105" s="176"/>
    </row>
    <row r="106" spans="1:11" x14ac:dyDescent="0.25">
      <c r="A106" s="472"/>
      <c r="B106" s="175" t="s">
        <v>504</v>
      </c>
      <c r="C106" s="23" t="s">
        <v>1954</v>
      </c>
      <c r="D106" s="23">
        <v>12</v>
      </c>
      <c r="E106" s="249">
        <v>71401599</v>
      </c>
      <c r="F106" s="175" t="s">
        <v>2138</v>
      </c>
      <c r="G106" s="23" t="s">
        <v>1956</v>
      </c>
      <c r="H106" s="23">
        <v>12</v>
      </c>
      <c r="I106" s="249">
        <v>71401848</v>
      </c>
      <c r="J106" s="22" t="s">
        <v>2138</v>
      </c>
      <c r="K106" s="176"/>
    </row>
    <row r="107" spans="1:11" x14ac:dyDescent="0.25">
      <c r="A107" s="472"/>
      <c r="B107" s="175" t="s">
        <v>504</v>
      </c>
      <c r="C107" s="23" t="s">
        <v>1975</v>
      </c>
      <c r="D107" s="23">
        <v>17</v>
      </c>
      <c r="E107" s="249">
        <v>42286212</v>
      </c>
      <c r="F107" s="175" t="s">
        <v>2139</v>
      </c>
      <c r="G107" s="23" t="s">
        <v>1956</v>
      </c>
      <c r="H107" s="23">
        <v>22</v>
      </c>
      <c r="I107" s="249">
        <v>34119337</v>
      </c>
      <c r="J107" s="22" t="s">
        <v>2140</v>
      </c>
      <c r="K107" s="176" t="s">
        <v>2141</v>
      </c>
    </row>
    <row r="108" spans="1:11" x14ac:dyDescent="0.25">
      <c r="A108" s="472"/>
      <c r="B108" s="177" t="s">
        <v>153</v>
      </c>
      <c r="C108" s="178" t="s">
        <v>1960</v>
      </c>
      <c r="D108" s="178">
        <v>1</v>
      </c>
      <c r="E108" s="250">
        <v>177376248</v>
      </c>
      <c r="F108" s="177" t="s">
        <v>2142</v>
      </c>
      <c r="G108" s="178" t="s">
        <v>1956</v>
      </c>
      <c r="H108" s="178">
        <v>1</v>
      </c>
      <c r="I108" s="250">
        <v>177378615</v>
      </c>
      <c r="J108" s="33" t="s">
        <v>2142</v>
      </c>
      <c r="K108" s="179"/>
    </row>
    <row r="109" spans="1:11" x14ac:dyDescent="0.25">
      <c r="A109" s="472"/>
      <c r="B109" s="177" t="s">
        <v>153</v>
      </c>
      <c r="C109" s="178" t="s">
        <v>1954</v>
      </c>
      <c r="D109" s="178">
        <v>1</v>
      </c>
      <c r="E109" s="250">
        <v>204351575</v>
      </c>
      <c r="F109" s="177" t="s">
        <v>2143</v>
      </c>
      <c r="G109" s="178" t="s">
        <v>1956</v>
      </c>
      <c r="H109" s="178">
        <v>1</v>
      </c>
      <c r="I109" s="250">
        <v>204410307</v>
      </c>
      <c r="J109" s="33" t="s">
        <v>2144</v>
      </c>
      <c r="K109" s="179" t="s">
        <v>2145</v>
      </c>
    </row>
    <row r="110" spans="1:11" x14ac:dyDescent="0.25">
      <c r="A110" s="472"/>
      <c r="B110" s="177" t="s">
        <v>153</v>
      </c>
      <c r="C110" s="178" t="s">
        <v>1964</v>
      </c>
      <c r="D110" s="178">
        <v>2</v>
      </c>
      <c r="E110" s="250">
        <v>168131088</v>
      </c>
      <c r="F110" s="177" t="s">
        <v>2146</v>
      </c>
      <c r="G110" s="178" t="s">
        <v>1956</v>
      </c>
      <c r="H110" s="178">
        <v>2</v>
      </c>
      <c r="I110" s="250">
        <v>174476367</v>
      </c>
      <c r="J110" s="33" t="s">
        <v>2147</v>
      </c>
      <c r="K110" s="179"/>
    </row>
    <row r="111" spans="1:11" x14ac:dyDescent="0.25">
      <c r="A111" s="472"/>
      <c r="B111" s="177" t="s">
        <v>153</v>
      </c>
      <c r="C111" s="178" t="s">
        <v>1964</v>
      </c>
      <c r="D111" s="178">
        <v>2</v>
      </c>
      <c r="E111" s="250">
        <v>168170061</v>
      </c>
      <c r="F111" s="177" t="s">
        <v>2146</v>
      </c>
      <c r="G111" s="178" t="s">
        <v>1956</v>
      </c>
      <c r="H111" s="178">
        <v>2</v>
      </c>
      <c r="I111" s="250">
        <v>175596201</v>
      </c>
      <c r="J111" s="33" t="s">
        <v>2148</v>
      </c>
      <c r="K111" s="179"/>
    </row>
    <row r="112" spans="1:11" x14ac:dyDescent="0.25">
      <c r="A112" s="472"/>
      <c r="B112" s="177" t="s">
        <v>153</v>
      </c>
      <c r="C112" s="178" t="s">
        <v>1960</v>
      </c>
      <c r="D112" s="178">
        <v>2</v>
      </c>
      <c r="E112" s="250">
        <v>233944185</v>
      </c>
      <c r="F112" s="177" t="s">
        <v>2149</v>
      </c>
      <c r="G112" s="178" t="s">
        <v>1956</v>
      </c>
      <c r="H112" s="178">
        <v>2</v>
      </c>
      <c r="I112" s="250">
        <v>233944478</v>
      </c>
      <c r="J112" s="33" t="s">
        <v>2149</v>
      </c>
      <c r="K112" s="179"/>
    </row>
    <row r="113" spans="1:11" x14ac:dyDescent="0.25">
      <c r="A113" s="472"/>
      <c r="B113" s="177" t="s">
        <v>153</v>
      </c>
      <c r="C113" s="178" t="s">
        <v>1964</v>
      </c>
      <c r="D113" s="178">
        <v>5</v>
      </c>
      <c r="E113" s="250">
        <v>1245836</v>
      </c>
      <c r="F113" s="177" t="s">
        <v>2150</v>
      </c>
      <c r="G113" s="178" t="s">
        <v>1956</v>
      </c>
      <c r="H113" s="178">
        <v>5</v>
      </c>
      <c r="I113" s="250">
        <v>8328560</v>
      </c>
      <c r="J113" s="33" t="s">
        <v>2151</v>
      </c>
      <c r="K113" s="179" t="s">
        <v>2152</v>
      </c>
    </row>
    <row r="114" spans="1:11" x14ac:dyDescent="0.25">
      <c r="A114" s="472"/>
      <c r="B114" s="177" t="s">
        <v>153</v>
      </c>
      <c r="C114" s="178" t="s">
        <v>1960</v>
      </c>
      <c r="D114" s="178">
        <v>5</v>
      </c>
      <c r="E114" s="250">
        <v>1318452</v>
      </c>
      <c r="F114" s="177" t="s">
        <v>2153</v>
      </c>
      <c r="G114" s="178" t="s">
        <v>1956</v>
      </c>
      <c r="H114" s="178">
        <v>5</v>
      </c>
      <c r="I114" s="250">
        <v>16191926</v>
      </c>
      <c r="J114" s="33" t="s">
        <v>2154</v>
      </c>
      <c r="K114" s="179" t="s">
        <v>2155</v>
      </c>
    </row>
    <row r="115" spans="1:11" x14ac:dyDescent="0.25">
      <c r="A115" s="472"/>
      <c r="B115" s="177" t="s">
        <v>153</v>
      </c>
      <c r="C115" s="178" t="s">
        <v>1964</v>
      </c>
      <c r="D115" s="178">
        <v>5</v>
      </c>
      <c r="E115" s="250">
        <v>8489203</v>
      </c>
      <c r="F115" s="177" t="s">
        <v>2156</v>
      </c>
      <c r="G115" s="178" t="s">
        <v>1956</v>
      </c>
      <c r="H115" s="178">
        <v>5</v>
      </c>
      <c r="I115" s="250">
        <v>179960062</v>
      </c>
      <c r="J115" s="33" t="s">
        <v>2157</v>
      </c>
      <c r="K115" s="179" t="s">
        <v>2158</v>
      </c>
    </row>
    <row r="116" spans="1:11" x14ac:dyDescent="0.25">
      <c r="A116" s="472"/>
      <c r="B116" s="177" t="s">
        <v>153</v>
      </c>
      <c r="C116" s="178" t="s">
        <v>1960</v>
      </c>
      <c r="D116" s="178">
        <v>5</v>
      </c>
      <c r="E116" s="250">
        <v>16432576</v>
      </c>
      <c r="F116" s="177" t="s">
        <v>2159</v>
      </c>
      <c r="G116" s="178" t="s">
        <v>1956</v>
      </c>
      <c r="H116" s="178">
        <v>5</v>
      </c>
      <c r="I116" s="250">
        <v>179759491</v>
      </c>
      <c r="J116" s="33" t="s">
        <v>2160</v>
      </c>
      <c r="K116" s="179" t="s">
        <v>2161</v>
      </c>
    </row>
    <row r="117" spans="1:11" x14ac:dyDescent="0.25">
      <c r="A117" s="472"/>
      <c r="B117" s="177" t="s">
        <v>153</v>
      </c>
      <c r="C117" s="178" t="s">
        <v>1964</v>
      </c>
      <c r="D117" s="178">
        <v>5</v>
      </c>
      <c r="E117" s="250">
        <v>32360496</v>
      </c>
      <c r="F117" s="177" t="s">
        <v>2162</v>
      </c>
      <c r="G117" s="178" t="s">
        <v>1956</v>
      </c>
      <c r="H117" s="178">
        <v>5</v>
      </c>
      <c r="I117" s="250">
        <v>35856561</v>
      </c>
      <c r="J117" s="33" t="s">
        <v>2163</v>
      </c>
      <c r="K117" s="179" t="s">
        <v>2164</v>
      </c>
    </row>
    <row r="118" spans="1:11" x14ac:dyDescent="0.25">
      <c r="A118" s="472"/>
      <c r="B118" s="177" t="s">
        <v>153</v>
      </c>
      <c r="C118" s="178" t="s">
        <v>1960</v>
      </c>
      <c r="D118" s="178">
        <v>5</v>
      </c>
      <c r="E118" s="250">
        <v>32544388</v>
      </c>
      <c r="F118" s="177" t="s">
        <v>2165</v>
      </c>
      <c r="G118" s="178" t="s">
        <v>1956</v>
      </c>
      <c r="H118" s="178">
        <v>5</v>
      </c>
      <c r="I118" s="250">
        <v>119172814</v>
      </c>
      <c r="J118" s="33" t="s">
        <v>2166</v>
      </c>
      <c r="K118" s="179"/>
    </row>
    <row r="119" spans="1:11" x14ac:dyDescent="0.25">
      <c r="A119" s="472"/>
      <c r="B119" s="177" t="s">
        <v>153</v>
      </c>
      <c r="C119" s="178" t="s">
        <v>1964</v>
      </c>
      <c r="D119" s="178">
        <v>5</v>
      </c>
      <c r="E119" s="250">
        <v>36069096</v>
      </c>
      <c r="F119" s="177" t="s">
        <v>2167</v>
      </c>
      <c r="G119" s="178" t="s">
        <v>1956</v>
      </c>
      <c r="H119" s="178">
        <v>5</v>
      </c>
      <c r="I119" s="250">
        <v>131610313</v>
      </c>
      <c r="J119" s="33" t="s">
        <v>2168</v>
      </c>
      <c r="K119" s="179"/>
    </row>
    <row r="120" spans="1:11" x14ac:dyDescent="0.25">
      <c r="A120" s="472"/>
      <c r="B120" s="177" t="s">
        <v>153</v>
      </c>
      <c r="C120" s="178" t="s">
        <v>1954</v>
      </c>
      <c r="D120" s="178">
        <v>5</v>
      </c>
      <c r="E120" s="250">
        <v>50556305</v>
      </c>
      <c r="F120" s="177" t="s">
        <v>2169</v>
      </c>
      <c r="G120" s="178" t="s">
        <v>1956</v>
      </c>
      <c r="H120" s="178">
        <v>5</v>
      </c>
      <c r="I120" s="250">
        <v>50758508</v>
      </c>
      <c r="J120" s="33" t="s">
        <v>2170</v>
      </c>
      <c r="K120" s="179"/>
    </row>
    <row r="121" spans="1:11" x14ac:dyDescent="0.25">
      <c r="A121" s="472"/>
      <c r="B121" s="177" t="s">
        <v>153</v>
      </c>
      <c r="C121" s="178" t="s">
        <v>1960</v>
      </c>
      <c r="D121" s="178">
        <v>5</v>
      </c>
      <c r="E121" s="250">
        <v>51770679</v>
      </c>
      <c r="F121" s="177" t="s">
        <v>2171</v>
      </c>
      <c r="G121" s="178" t="s">
        <v>1956</v>
      </c>
      <c r="H121" s="178">
        <v>5</v>
      </c>
      <c r="I121" s="250">
        <v>78676979</v>
      </c>
      <c r="J121" s="33" t="s">
        <v>2172</v>
      </c>
      <c r="K121" s="179" t="s">
        <v>2173</v>
      </c>
    </row>
    <row r="122" spans="1:11" x14ac:dyDescent="0.25">
      <c r="A122" s="472"/>
      <c r="B122" s="177" t="s">
        <v>153</v>
      </c>
      <c r="C122" s="178" t="s">
        <v>1964</v>
      </c>
      <c r="D122" s="178">
        <v>5</v>
      </c>
      <c r="E122" s="250">
        <v>76011989</v>
      </c>
      <c r="F122" s="177" t="s">
        <v>2174</v>
      </c>
      <c r="G122" s="178" t="s">
        <v>1956</v>
      </c>
      <c r="H122" s="178">
        <v>5</v>
      </c>
      <c r="I122" s="250">
        <v>158025520</v>
      </c>
      <c r="J122" s="33" t="s">
        <v>2175</v>
      </c>
      <c r="K122" s="179" t="s">
        <v>2176</v>
      </c>
    </row>
    <row r="123" spans="1:11" x14ac:dyDescent="0.25">
      <c r="A123" s="472"/>
      <c r="B123" s="177" t="s">
        <v>153</v>
      </c>
      <c r="C123" s="178" t="s">
        <v>1964</v>
      </c>
      <c r="D123" s="178">
        <v>5</v>
      </c>
      <c r="E123" s="250">
        <v>85528053</v>
      </c>
      <c r="F123" s="177" t="s">
        <v>2177</v>
      </c>
      <c r="G123" s="178" t="s">
        <v>1956</v>
      </c>
      <c r="H123" s="178">
        <v>5</v>
      </c>
      <c r="I123" s="250">
        <v>139522888</v>
      </c>
      <c r="J123" s="33" t="s">
        <v>2178</v>
      </c>
      <c r="K123" s="179"/>
    </row>
    <row r="124" spans="1:11" x14ac:dyDescent="0.25">
      <c r="A124" s="472"/>
      <c r="B124" s="177" t="s">
        <v>153</v>
      </c>
      <c r="C124" s="178" t="s">
        <v>1964</v>
      </c>
      <c r="D124" s="178">
        <v>5</v>
      </c>
      <c r="E124" s="250">
        <v>85651374</v>
      </c>
      <c r="F124" s="177" t="s">
        <v>2179</v>
      </c>
      <c r="G124" s="178" t="s">
        <v>1956</v>
      </c>
      <c r="H124" s="178">
        <v>5</v>
      </c>
      <c r="I124" s="250">
        <v>98204390</v>
      </c>
      <c r="J124" s="33" t="s">
        <v>2180</v>
      </c>
      <c r="K124" s="179" t="s">
        <v>2181</v>
      </c>
    </row>
    <row r="125" spans="1:11" x14ac:dyDescent="0.25">
      <c r="A125" s="472"/>
      <c r="B125" s="177" t="s">
        <v>153</v>
      </c>
      <c r="C125" s="178" t="s">
        <v>1960</v>
      </c>
      <c r="D125" s="178">
        <v>5</v>
      </c>
      <c r="E125" s="250">
        <v>126143683</v>
      </c>
      <c r="F125" s="177" t="s">
        <v>2182</v>
      </c>
      <c r="G125" s="178" t="s">
        <v>1956</v>
      </c>
      <c r="H125" s="178">
        <v>5</v>
      </c>
      <c r="I125" s="250">
        <v>126143907</v>
      </c>
      <c r="J125" s="33" t="s">
        <v>2182</v>
      </c>
      <c r="K125" s="179"/>
    </row>
    <row r="126" spans="1:11" x14ac:dyDescent="0.25">
      <c r="A126" s="472"/>
      <c r="B126" s="177" t="s">
        <v>153</v>
      </c>
      <c r="C126" s="178" t="s">
        <v>1954</v>
      </c>
      <c r="D126" s="178">
        <v>5</v>
      </c>
      <c r="E126" s="250">
        <v>132451091</v>
      </c>
      <c r="F126" s="177" t="s">
        <v>2183</v>
      </c>
      <c r="G126" s="178" t="s">
        <v>1956</v>
      </c>
      <c r="H126" s="178">
        <v>5</v>
      </c>
      <c r="I126" s="250">
        <v>157765226</v>
      </c>
      <c r="J126" s="33" t="s">
        <v>2184</v>
      </c>
      <c r="K126" s="179" t="s">
        <v>2185</v>
      </c>
    </row>
    <row r="127" spans="1:11" x14ac:dyDescent="0.25">
      <c r="A127" s="472"/>
      <c r="B127" s="177" t="s">
        <v>153</v>
      </c>
      <c r="C127" s="178" t="s">
        <v>1964</v>
      </c>
      <c r="D127" s="178">
        <v>5</v>
      </c>
      <c r="E127" s="250">
        <v>132656759</v>
      </c>
      <c r="F127" s="177" t="s">
        <v>2186</v>
      </c>
      <c r="G127" s="178" t="s">
        <v>1956</v>
      </c>
      <c r="H127" s="178">
        <v>5</v>
      </c>
      <c r="I127" s="250">
        <v>151078838</v>
      </c>
      <c r="J127" s="33" t="s">
        <v>2187</v>
      </c>
      <c r="K127" s="179" t="s">
        <v>2188</v>
      </c>
    </row>
    <row r="128" spans="1:11" x14ac:dyDescent="0.25">
      <c r="A128" s="472"/>
      <c r="B128" s="177" t="s">
        <v>153</v>
      </c>
      <c r="C128" s="178" t="s">
        <v>1964</v>
      </c>
      <c r="D128" s="178">
        <v>5</v>
      </c>
      <c r="E128" s="250">
        <v>139668672</v>
      </c>
      <c r="F128" s="177" t="s">
        <v>2189</v>
      </c>
      <c r="G128" s="178" t="s">
        <v>1956</v>
      </c>
      <c r="H128" s="178">
        <v>5</v>
      </c>
      <c r="I128" s="250">
        <v>141485914</v>
      </c>
      <c r="J128" s="33" t="s">
        <v>2190</v>
      </c>
      <c r="K128" s="179" t="s">
        <v>2191</v>
      </c>
    </row>
    <row r="129" spans="1:11" x14ac:dyDescent="0.25">
      <c r="A129" s="472"/>
      <c r="B129" s="177" t="s">
        <v>153</v>
      </c>
      <c r="C129" s="178" t="s">
        <v>1964</v>
      </c>
      <c r="D129" s="178">
        <v>5</v>
      </c>
      <c r="E129" s="250">
        <v>141275828</v>
      </c>
      <c r="F129" s="177" t="s">
        <v>2192</v>
      </c>
      <c r="G129" s="178" t="s">
        <v>1956</v>
      </c>
      <c r="H129" s="178">
        <v>5</v>
      </c>
      <c r="I129" s="250">
        <v>150845225</v>
      </c>
      <c r="J129" s="33" t="s">
        <v>2193</v>
      </c>
      <c r="K129" s="179" t="s">
        <v>2194</v>
      </c>
    </row>
    <row r="130" spans="1:11" x14ac:dyDescent="0.25">
      <c r="A130" s="472"/>
      <c r="B130" s="177" t="s">
        <v>153</v>
      </c>
      <c r="C130" s="178" t="s">
        <v>1964</v>
      </c>
      <c r="D130" s="178">
        <v>6</v>
      </c>
      <c r="E130" s="250">
        <v>28754261</v>
      </c>
      <c r="F130" s="177" t="s">
        <v>2195</v>
      </c>
      <c r="G130" s="178" t="s">
        <v>1956</v>
      </c>
      <c r="H130" s="178">
        <v>6</v>
      </c>
      <c r="I130" s="250">
        <v>28755186</v>
      </c>
      <c r="J130" s="33" t="s">
        <v>2195</v>
      </c>
      <c r="K130" s="179"/>
    </row>
    <row r="131" spans="1:11" x14ac:dyDescent="0.25">
      <c r="A131" s="472"/>
      <c r="B131" s="177" t="s">
        <v>153</v>
      </c>
      <c r="C131" s="178" t="s">
        <v>1960</v>
      </c>
      <c r="D131" s="178">
        <v>7</v>
      </c>
      <c r="E131" s="250">
        <v>140297068</v>
      </c>
      <c r="F131" s="177" t="s">
        <v>2196</v>
      </c>
      <c r="G131" s="178" t="s">
        <v>1956</v>
      </c>
      <c r="H131" s="178">
        <v>7</v>
      </c>
      <c r="I131" s="250">
        <v>140366652</v>
      </c>
      <c r="J131" s="33" t="s">
        <v>2197</v>
      </c>
      <c r="K131" s="179" t="s">
        <v>2198</v>
      </c>
    </row>
    <row r="132" spans="1:11" x14ac:dyDescent="0.25">
      <c r="A132" s="472"/>
      <c r="B132" s="177" t="s">
        <v>153</v>
      </c>
      <c r="C132" s="178" t="s">
        <v>1960</v>
      </c>
      <c r="D132" s="178">
        <v>14</v>
      </c>
      <c r="E132" s="250">
        <v>79878434</v>
      </c>
      <c r="F132" s="177" t="s">
        <v>2199</v>
      </c>
      <c r="G132" s="178" t="s">
        <v>1956</v>
      </c>
      <c r="H132" s="178">
        <v>14</v>
      </c>
      <c r="I132" s="250">
        <v>79881039</v>
      </c>
      <c r="J132" s="33" t="s">
        <v>2199</v>
      </c>
      <c r="K132" s="179"/>
    </row>
    <row r="133" spans="1:11" x14ac:dyDescent="0.25">
      <c r="A133" s="472"/>
      <c r="B133" s="177" t="s">
        <v>153</v>
      </c>
      <c r="C133" s="178" t="s">
        <v>1960</v>
      </c>
      <c r="D133" s="178">
        <v>14</v>
      </c>
      <c r="E133" s="250">
        <v>105765148</v>
      </c>
      <c r="F133" s="177" t="s">
        <v>2200</v>
      </c>
      <c r="G133" s="178" t="s">
        <v>1956</v>
      </c>
      <c r="H133" s="178">
        <v>14</v>
      </c>
      <c r="I133" s="250">
        <v>105765466</v>
      </c>
      <c r="J133" s="33" t="s">
        <v>2200</v>
      </c>
      <c r="K133" s="179"/>
    </row>
    <row r="134" spans="1:11" ht="15.75" thickBot="1" x14ac:dyDescent="0.3">
      <c r="A134" s="473"/>
      <c r="B134" s="180" t="s">
        <v>153</v>
      </c>
      <c r="C134" s="181" t="s">
        <v>1954</v>
      </c>
      <c r="D134" s="181">
        <v>16</v>
      </c>
      <c r="E134" s="251">
        <v>56887811</v>
      </c>
      <c r="F134" s="180" t="s">
        <v>2201</v>
      </c>
      <c r="G134" s="181" t="s">
        <v>1956</v>
      </c>
      <c r="H134" s="181">
        <v>16</v>
      </c>
      <c r="I134" s="251">
        <v>57276129</v>
      </c>
      <c r="J134" s="182" t="s">
        <v>2202</v>
      </c>
      <c r="K134" s="319"/>
    </row>
    <row r="135" spans="1:11" x14ac:dyDescent="0.25">
      <c r="A135" s="468" t="s">
        <v>4148</v>
      </c>
      <c r="B135" s="40" t="s">
        <v>22</v>
      </c>
      <c r="C135" s="35" t="s">
        <v>2042</v>
      </c>
      <c r="D135" s="183">
        <v>4</v>
      </c>
      <c r="E135" s="36">
        <v>102101281</v>
      </c>
      <c r="F135" s="38" t="s">
        <v>2203</v>
      </c>
      <c r="G135" s="35" t="s">
        <v>1956</v>
      </c>
      <c r="H135" s="35">
        <v>4</v>
      </c>
      <c r="I135" s="36">
        <v>102239312</v>
      </c>
      <c r="J135" s="38" t="s">
        <v>2203</v>
      </c>
      <c r="K135" s="184" t="s">
        <v>2204</v>
      </c>
    </row>
    <row r="136" spans="1:11" x14ac:dyDescent="0.25">
      <c r="A136" s="468"/>
      <c r="B136" s="40" t="s">
        <v>22</v>
      </c>
      <c r="C136" s="35" t="s">
        <v>2042</v>
      </c>
      <c r="D136" s="35">
        <v>6</v>
      </c>
      <c r="E136" s="36">
        <v>157128498</v>
      </c>
      <c r="F136" s="34" t="s">
        <v>2205</v>
      </c>
      <c r="G136" s="35" t="s">
        <v>1956</v>
      </c>
      <c r="H136" s="35">
        <v>6</v>
      </c>
      <c r="I136" s="36">
        <v>157151528</v>
      </c>
      <c r="J136" s="34" t="s">
        <v>2205</v>
      </c>
      <c r="K136" s="184" t="s">
        <v>2206</v>
      </c>
    </row>
    <row r="137" spans="1:11" x14ac:dyDescent="0.25">
      <c r="A137" s="468"/>
      <c r="B137" s="40" t="s">
        <v>22</v>
      </c>
      <c r="C137" s="35" t="s">
        <v>2042</v>
      </c>
      <c r="D137" s="35">
        <v>7</v>
      </c>
      <c r="E137" s="36">
        <v>70239076</v>
      </c>
      <c r="F137" s="34" t="s">
        <v>2207</v>
      </c>
      <c r="G137" s="35" t="s">
        <v>1956</v>
      </c>
      <c r="H137" s="35">
        <v>7</v>
      </c>
      <c r="I137" s="36">
        <v>70255285</v>
      </c>
      <c r="J137" s="34" t="s">
        <v>2207</v>
      </c>
      <c r="K137" s="184" t="s">
        <v>815</v>
      </c>
    </row>
    <row r="138" spans="1:11" x14ac:dyDescent="0.25">
      <c r="A138" s="468"/>
      <c r="B138" s="40" t="s">
        <v>22</v>
      </c>
      <c r="C138" s="35" t="s">
        <v>2042</v>
      </c>
      <c r="D138" s="35">
        <v>7</v>
      </c>
      <c r="E138" s="36">
        <v>91639155</v>
      </c>
      <c r="F138" s="34" t="s">
        <v>2208</v>
      </c>
      <c r="G138" s="35" t="s">
        <v>1956</v>
      </c>
      <c r="H138" s="35">
        <v>7</v>
      </c>
      <c r="I138" s="36">
        <v>92006325</v>
      </c>
      <c r="J138" s="40" t="s">
        <v>2209</v>
      </c>
      <c r="K138" s="184" t="s">
        <v>2210</v>
      </c>
    </row>
    <row r="139" spans="1:11" x14ac:dyDescent="0.25">
      <c r="A139" s="468"/>
      <c r="B139" s="40" t="s">
        <v>22</v>
      </c>
      <c r="C139" s="35" t="s">
        <v>1954</v>
      </c>
      <c r="D139" s="35">
        <v>7</v>
      </c>
      <c r="E139" s="36">
        <v>103829490</v>
      </c>
      <c r="F139" s="34" t="s">
        <v>2211</v>
      </c>
      <c r="G139" s="35" t="s">
        <v>1956</v>
      </c>
      <c r="H139" s="35">
        <v>7</v>
      </c>
      <c r="I139" s="36">
        <f>E139+56</f>
        <v>103829546</v>
      </c>
      <c r="J139" s="34" t="s">
        <v>2211</v>
      </c>
      <c r="K139" s="184"/>
    </row>
    <row r="140" spans="1:11" x14ac:dyDescent="0.25">
      <c r="A140" s="468"/>
      <c r="B140" s="40" t="s">
        <v>22</v>
      </c>
      <c r="C140" s="35" t="s">
        <v>1954</v>
      </c>
      <c r="D140" s="35">
        <v>9</v>
      </c>
      <c r="E140" s="36">
        <v>27852972</v>
      </c>
      <c r="F140" s="34" t="s">
        <v>2212</v>
      </c>
      <c r="G140" s="35" t="s">
        <v>1956</v>
      </c>
      <c r="H140" s="35">
        <v>9</v>
      </c>
      <c r="I140" s="36">
        <v>27907770</v>
      </c>
      <c r="J140" s="34" t="s">
        <v>2212</v>
      </c>
      <c r="K140" s="184"/>
    </row>
    <row r="141" spans="1:11" x14ac:dyDescent="0.25">
      <c r="A141" s="468"/>
      <c r="B141" s="40" t="s">
        <v>22</v>
      </c>
      <c r="C141" s="35" t="s">
        <v>1975</v>
      </c>
      <c r="D141" s="183">
        <v>11</v>
      </c>
      <c r="E141" s="252">
        <v>72869543</v>
      </c>
      <c r="F141" s="38" t="s">
        <v>2213</v>
      </c>
      <c r="G141" s="35" t="s">
        <v>1956</v>
      </c>
      <c r="H141" s="183">
        <v>22</v>
      </c>
      <c r="I141" s="252">
        <v>30945951</v>
      </c>
      <c r="J141" s="34" t="s">
        <v>2214</v>
      </c>
      <c r="K141" s="320"/>
    </row>
    <row r="142" spans="1:11" x14ac:dyDescent="0.25">
      <c r="A142" s="468"/>
      <c r="B142" s="40" t="s">
        <v>22</v>
      </c>
      <c r="C142" s="35" t="s">
        <v>1954</v>
      </c>
      <c r="D142" s="35">
        <v>12</v>
      </c>
      <c r="E142" s="36">
        <v>22876184</v>
      </c>
      <c r="F142" s="34" t="s">
        <v>2215</v>
      </c>
      <c r="G142" s="35" t="s">
        <v>1956</v>
      </c>
      <c r="H142" s="35">
        <v>12</v>
      </c>
      <c r="I142" s="36">
        <v>22881047</v>
      </c>
      <c r="J142" s="34" t="s">
        <v>2216</v>
      </c>
      <c r="K142" s="184"/>
    </row>
    <row r="143" spans="1:11" x14ac:dyDescent="0.25">
      <c r="A143" s="468"/>
      <c r="B143" s="40" t="s">
        <v>22</v>
      </c>
      <c r="C143" s="35" t="s">
        <v>1954</v>
      </c>
      <c r="D143" s="35">
        <v>12</v>
      </c>
      <c r="E143" s="36">
        <v>100299531</v>
      </c>
      <c r="F143" s="34" t="s">
        <v>2217</v>
      </c>
      <c r="G143" s="35" t="s">
        <v>1956</v>
      </c>
      <c r="H143" s="35">
        <v>12</v>
      </c>
      <c r="I143" s="36">
        <v>100432226</v>
      </c>
      <c r="J143" s="40" t="s">
        <v>2218</v>
      </c>
      <c r="K143" s="184" t="s">
        <v>2219</v>
      </c>
    </row>
    <row r="144" spans="1:11" x14ac:dyDescent="0.25">
      <c r="A144" s="468"/>
      <c r="B144" s="40" t="s">
        <v>22</v>
      </c>
      <c r="C144" s="35" t="s">
        <v>1954</v>
      </c>
      <c r="D144" s="35">
        <v>14</v>
      </c>
      <c r="E144" s="36">
        <v>69434802</v>
      </c>
      <c r="F144" s="34" t="s">
        <v>2220</v>
      </c>
      <c r="G144" s="35" t="s">
        <v>1956</v>
      </c>
      <c r="H144" s="35">
        <v>14</v>
      </c>
      <c r="I144" s="36">
        <v>69493341</v>
      </c>
      <c r="J144" s="40" t="s">
        <v>2221</v>
      </c>
      <c r="K144" s="184" t="s">
        <v>2222</v>
      </c>
    </row>
    <row r="145" spans="1:11" x14ac:dyDescent="0.25">
      <c r="A145" s="468"/>
      <c r="B145" s="40" t="s">
        <v>22</v>
      </c>
      <c r="C145" s="35" t="s">
        <v>1958</v>
      </c>
      <c r="D145" s="183">
        <v>17</v>
      </c>
      <c r="E145" s="252">
        <v>43784612</v>
      </c>
      <c r="F145" s="38" t="s">
        <v>2223</v>
      </c>
      <c r="G145" s="35" t="s">
        <v>1956</v>
      </c>
      <c r="H145" s="183" t="s">
        <v>2005</v>
      </c>
      <c r="I145" s="36"/>
      <c r="J145" s="34"/>
      <c r="K145" s="184" t="s">
        <v>2224</v>
      </c>
    </row>
    <row r="146" spans="1:11" x14ac:dyDescent="0.25">
      <c r="A146" s="468"/>
      <c r="B146" s="40" t="s">
        <v>22</v>
      </c>
      <c r="C146" s="35" t="s">
        <v>1954</v>
      </c>
      <c r="D146" s="35">
        <v>17</v>
      </c>
      <c r="E146" s="36">
        <v>49180781</v>
      </c>
      <c r="F146" s="34" t="s">
        <v>2225</v>
      </c>
      <c r="G146" s="35" t="s">
        <v>1956</v>
      </c>
      <c r="H146" s="35">
        <v>17</v>
      </c>
      <c r="I146" s="36">
        <v>9274734</v>
      </c>
      <c r="J146" s="40" t="s">
        <v>2226</v>
      </c>
      <c r="K146" s="184" t="s">
        <v>2227</v>
      </c>
    </row>
    <row r="147" spans="1:11" x14ac:dyDescent="0.25">
      <c r="A147" s="468"/>
      <c r="B147" s="40" t="s">
        <v>22</v>
      </c>
      <c r="C147" s="35" t="s">
        <v>1954</v>
      </c>
      <c r="D147" s="35" t="s">
        <v>379</v>
      </c>
      <c r="E147" s="36">
        <v>84416531</v>
      </c>
      <c r="F147" s="34" t="s">
        <v>2228</v>
      </c>
      <c r="G147" s="35" t="s">
        <v>1956</v>
      </c>
      <c r="H147" s="35" t="s">
        <v>379</v>
      </c>
      <c r="I147" s="36">
        <v>84423183</v>
      </c>
      <c r="J147" s="34" t="s">
        <v>2228</v>
      </c>
      <c r="K147" s="184"/>
    </row>
    <row r="148" spans="1:11" x14ac:dyDescent="0.25">
      <c r="A148" s="468"/>
      <c r="B148" s="40" t="s">
        <v>22</v>
      </c>
      <c r="C148" s="35" t="s">
        <v>1954</v>
      </c>
      <c r="D148" s="35" t="s">
        <v>379</v>
      </c>
      <c r="E148" s="36">
        <v>139766398</v>
      </c>
      <c r="F148" s="40" t="s">
        <v>2229</v>
      </c>
      <c r="G148" s="35" t="s">
        <v>1956</v>
      </c>
      <c r="H148" s="35" t="s">
        <v>379</v>
      </c>
      <c r="I148" s="36">
        <v>139786006</v>
      </c>
      <c r="J148" s="40" t="s">
        <v>2229</v>
      </c>
      <c r="K148" s="184"/>
    </row>
    <row r="149" spans="1:11" x14ac:dyDescent="0.25">
      <c r="A149" s="468"/>
      <c r="B149" s="47" t="s">
        <v>504</v>
      </c>
      <c r="C149" s="42" t="s">
        <v>1960</v>
      </c>
      <c r="D149" s="42">
        <v>1</v>
      </c>
      <c r="E149" s="43">
        <v>9189838</v>
      </c>
      <c r="F149" s="45" t="s">
        <v>2230</v>
      </c>
      <c r="G149" s="42" t="s">
        <v>1956</v>
      </c>
      <c r="H149" s="42">
        <v>1</v>
      </c>
      <c r="I149" s="43">
        <v>10012451</v>
      </c>
      <c r="J149" s="185" t="s">
        <v>2231</v>
      </c>
      <c r="K149" s="44" t="s">
        <v>2232</v>
      </c>
    </row>
    <row r="150" spans="1:11" x14ac:dyDescent="0.25">
      <c r="A150" s="468"/>
      <c r="B150" s="47" t="s">
        <v>504</v>
      </c>
      <c r="C150" s="42" t="s">
        <v>1975</v>
      </c>
      <c r="D150" s="42">
        <v>1</v>
      </c>
      <c r="E150" s="43">
        <v>108801434</v>
      </c>
      <c r="F150" s="41" t="s">
        <v>2233</v>
      </c>
      <c r="G150" s="42" t="s">
        <v>1956</v>
      </c>
      <c r="H150" s="42">
        <v>2</v>
      </c>
      <c r="I150" s="43">
        <v>192581339</v>
      </c>
      <c r="J150" s="47" t="s">
        <v>2234</v>
      </c>
      <c r="K150" s="186"/>
    </row>
    <row r="151" spans="1:11" x14ac:dyDescent="0.25">
      <c r="A151" s="468"/>
      <c r="B151" s="47" t="s">
        <v>504</v>
      </c>
      <c r="C151" s="42" t="s">
        <v>1975</v>
      </c>
      <c r="D151" s="42">
        <v>1</v>
      </c>
      <c r="E151" s="43">
        <v>211030324</v>
      </c>
      <c r="F151" s="45" t="s">
        <v>2235</v>
      </c>
      <c r="G151" s="42" t="s">
        <v>1956</v>
      </c>
      <c r="H151" s="42">
        <v>2</v>
      </c>
      <c r="I151" s="43">
        <v>37513605</v>
      </c>
      <c r="J151" s="47" t="s">
        <v>2236</v>
      </c>
      <c r="K151" s="186" t="s">
        <v>2237</v>
      </c>
    </row>
    <row r="152" spans="1:11" x14ac:dyDescent="0.25">
      <c r="A152" s="468"/>
      <c r="B152" s="47" t="s">
        <v>504</v>
      </c>
      <c r="C152" s="42" t="s">
        <v>1975</v>
      </c>
      <c r="D152" s="42">
        <v>1</v>
      </c>
      <c r="E152" s="43">
        <v>211030476</v>
      </c>
      <c r="F152" s="45" t="s">
        <v>2235</v>
      </c>
      <c r="G152" s="42" t="s">
        <v>1956</v>
      </c>
      <c r="H152" s="42">
        <v>8</v>
      </c>
      <c r="I152" s="43">
        <v>22673731</v>
      </c>
      <c r="J152" s="185" t="s">
        <v>2238</v>
      </c>
      <c r="K152" s="186" t="s">
        <v>2239</v>
      </c>
    </row>
    <row r="153" spans="1:11" x14ac:dyDescent="0.25">
      <c r="A153" s="468"/>
      <c r="B153" s="47" t="s">
        <v>504</v>
      </c>
      <c r="C153" s="42" t="s">
        <v>1954</v>
      </c>
      <c r="D153" s="42">
        <v>2</v>
      </c>
      <c r="E153" s="43">
        <v>29720753</v>
      </c>
      <c r="F153" s="41" t="s">
        <v>2240</v>
      </c>
      <c r="G153" s="42" t="s">
        <v>1956</v>
      </c>
      <c r="H153" s="42">
        <v>2</v>
      </c>
      <c r="I153" s="43">
        <v>29723013</v>
      </c>
      <c r="J153" s="47" t="s">
        <v>2240</v>
      </c>
      <c r="K153" s="186" t="s">
        <v>2241</v>
      </c>
    </row>
    <row r="154" spans="1:11" x14ac:dyDescent="0.25">
      <c r="A154" s="468"/>
      <c r="B154" s="47" t="s">
        <v>504</v>
      </c>
      <c r="C154" s="42" t="s">
        <v>1975</v>
      </c>
      <c r="D154" s="42">
        <v>2</v>
      </c>
      <c r="E154" s="43">
        <v>37513706</v>
      </c>
      <c r="F154" s="41" t="s">
        <v>2236</v>
      </c>
      <c r="G154" s="42" t="s">
        <v>1956</v>
      </c>
      <c r="H154" s="42">
        <v>8</v>
      </c>
      <c r="I154" s="43">
        <v>22673634</v>
      </c>
      <c r="J154" s="185" t="s">
        <v>2238</v>
      </c>
      <c r="K154" s="186" t="s">
        <v>2242</v>
      </c>
    </row>
    <row r="155" spans="1:11" x14ac:dyDescent="0.25">
      <c r="A155" s="468"/>
      <c r="B155" s="47" t="s">
        <v>504</v>
      </c>
      <c r="C155" s="42" t="s">
        <v>1964</v>
      </c>
      <c r="D155" s="42">
        <v>2</v>
      </c>
      <c r="E155" s="43">
        <v>47925803</v>
      </c>
      <c r="F155" s="45" t="s">
        <v>2243</v>
      </c>
      <c r="G155" s="42" t="s">
        <v>1956</v>
      </c>
      <c r="H155" s="42">
        <v>2</v>
      </c>
      <c r="I155" s="43">
        <v>207495290</v>
      </c>
      <c r="J155" s="47" t="s">
        <v>2244</v>
      </c>
      <c r="K155" s="186"/>
    </row>
    <row r="156" spans="1:11" x14ac:dyDescent="0.25">
      <c r="A156" s="468"/>
      <c r="B156" s="47" t="s">
        <v>504</v>
      </c>
      <c r="C156" s="42" t="s">
        <v>1954</v>
      </c>
      <c r="D156" s="42">
        <v>2</v>
      </c>
      <c r="E156" s="43">
        <v>119335966</v>
      </c>
      <c r="F156" s="41" t="s">
        <v>2245</v>
      </c>
      <c r="G156" s="42" t="s">
        <v>1956</v>
      </c>
      <c r="H156" s="42">
        <v>2</v>
      </c>
      <c r="I156" s="43">
        <v>119355263</v>
      </c>
      <c r="J156" s="47" t="s">
        <v>2245</v>
      </c>
      <c r="K156" s="186"/>
    </row>
    <row r="157" spans="1:11" x14ac:dyDescent="0.25">
      <c r="A157" s="468"/>
      <c r="B157" s="47" t="s">
        <v>504</v>
      </c>
      <c r="C157" s="42" t="s">
        <v>1960</v>
      </c>
      <c r="D157" s="42">
        <v>2</v>
      </c>
      <c r="E157" s="43">
        <v>231045502</v>
      </c>
      <c r="F157" s="41" t="s">
        <v>2246</v>
      </c>
      <c r="G157" s="42" t="s">
        <v>1956</v>
      </c>
      <c r="H157" s="42">
        <v>2</v>
      </c>
      <c r="I157" s="43">
        <v>231046226</v>
      </c>
      <c r="J157" s="41" t="s">
        <v>2246</v>
      </c>
      <c r="K157" s="186"/>
    </row>
    <row r="158" spans="1:11" x14ac:dyDescent="0.25">
      <c r="A158" s="468"/>
      <c r="B158" s="47" t="s">
        <v>504</v>
      </c>
      <c r="C158" s="42" t="s">
        <v>1964</v>
      </c>
      <c r="D158" s="42">
        <v>3</v>
      </c>
      <c r="E158" s="43">
        <v>35887418</v>
      </c>
      <c r="F158" s="45" t="s">
        <v>2247</v>
      </c>
      <c r="G158" s="42" t="s">
        <v>1956</v>
      </c>
      <c r="H158" s="42">
        <v>3</v>
      </c>
      <c r="I158" s="43">
        <v>131002743</v>
      </c>
      <c r="J158" s="47" t="s">
        <v>2248</v>
      </c>
      <c r="K158" s="186" t="s">
        <v>2249</v>
      </c>
    </row>
    <row r="159" spans="1:11" x14ac:dyDescent="0.25">
      <c r="A159" s="468"/>
      <c r="B159" s="47" t="s">
        <v>504</v>
      </c>
      <c r="C159" s="42" t="s">
        <v>1975</v>
      </c>
      <c r="D159" s="42">
        <v>3</v>
      </c>
      <c r="E159" s="43">
        <v>55377970</v>
      </c>
      <c r="F159" s="45" t="s">
        <v>2250</v>
      </c>
      <c r="G159" s="42" t="s">
        <v>1956</v>
      </c>
      <c r="H159" s="42">
        <v>5</v>
      </c>
      <c r="I159" s="43">
        <v>1366039</v>
      </c>
      <c r="J159" s="45" t="s">
        <v>2739</v>
      </c>
      <c r="K159" s="186" t="s">
        <v>2251</v>
      </c>
    </row>
    <row r="160" spans="1:11" x14ac:dyDescent="0.25">
      <c r="A160" s="468"/>
      <c r="B160" s="47" t="s">
        <v>504</v>
      </c>
      <c r="C160" s="42" t="s">
        <v>1975</v>
      </c>
      <c r="D160" s="42">
        <v>3</v>
      </c>
      <c r="E160" s="43">
        <v>55378143</v>
      </c>
      <c r="F160" s="45" t="s">
        <v>2250</v>
      </c>
      <c r="G160" s="42" t="s">
        <v>1956</v>
      </c>
      <c r="H160" s="42">
        <v>11</v>
      </c>
      <c r="I160" s="43">
        <v>83688461</v>
      </c>
      <c r="J160" s="47" t="s">
        <v>2252</v>
      </c>
      <c r="K160" s="186" t="s">
        <v>2253</v>
      </c>
    </row>
    <row r="161" spans="1:11" x14ac:dyDescent="0.25">
      <c r="A161" s="468"/>
      <c r="B161" s="47" t="s">
        <v>504</v>
      </c>
      <c r="C161" s="42" t="s">
        <v>1960</v>
      </c>
      <c r="D161" s="42">
        <v>3</v>
      </c>
      <c r="E161" s="43">
        <v>85078492</v>
      </c>
      <c r="F161" s="41" t="s">
        <v>2254</v>
      </c>
      <c r="G161" s="42" t="s">
        <v>1956</v>
      </c>
      <c r="H161" s="42">
        <v>3</v>
      </c>
      <c r="I161" s="43">
        <v>85087175</v>
      </c>
      <c r="J161" s="41" t="s">
        <v>2254</v>
      </c>
      <c r="K161" s="186"/>
    </row>
    <row r="162" spans="1:11" x14ac:dyDescent="0.25">
      <c r="A162" s="468"/>
      <c r="B162" s="47" t="s">
        <v>504</v>
      </c>
      <c r="C162" s="42" t="s">
        <v>1954</v>
      </c>
      <c r="D162" s="42">
        <v>3</v>
      </c>
      <c r="E162" s="43">
        <v>138712309</v>
      </c>
      <c r="F162" s="41" t="s">
        <v>2255</v>
      </c>
      <c r="G162" s="42" t="s">
        <v>1956</v>
      </c>
      <c r="H162" s="42">
        <v>3</v>
      </c>
      <c r="I162" s="43">
        <v>138714279</v>
      </c>
      <c r="J162" s="41" t="s">
        <v>2255</v>
      </c>
      <c r="K162" s="186"/>
    </row>
    <row r="163" spans="1:11" x14ac:dyDescent="0.25">
      <c r="A163" s="468"/>
      <c r="B163" s="47" t="s">
        <v>504</v>
      </c>
      <c r="C163" s="42" t="s">
        <v>1954</v>
      </c>
      <c r="D163" s="42">
        <v>3</v>
      </c>
      <c r="E163" s="43">
        <v>147523741</v>
      </c>
      <c r="F163" s="41" t="s">
        <v>2256</v>
      </c>
      <c r="G163" s="42" t="s">
        <v>1956</v>
      </c>
      <c r="H163" s="42">
        <v>3</v>
      </c>
      <c r="I163" s="43">
        <v>147526319</v>
      </c>
      <c r="J163" s="41" t="s">
        <v>2256</v>
      </c>
      <c r="K163" s="186"/>
    </row>
    <row r="164" spans="1:11" x14ac:dyDescent="0.25">
      <c r="A164" s="468"/>
      <c r="B164" s="47" t="s">
        <v>504</v>
      </c>
      <c r="C164" s="42" t="s">
        <v>1975</v>
      </c>
      <c r="D164" s="187">
        <v>4</v>
      </c>
      <c r="E164" s="253">
        <v>61239</v>
      </c>
      <c r="F164" s="41" t="s">
        <v>2257</v>
      </c>
      <c r="G164" s="42" t="s">
        <v>1956</v>
      </c>
      <c r="H164" s="187">
        <v>12</v>
      </c>
      <c r="I164" s="253">
        <v>100638575</v>
      </c>
      <c r="J164" s="45" t="s">
        <v>2258</v>
      </c>
      <c r="K164" s="186" t="s">
        <v>2259</v>
      </c>
    </row>
    <row r="165" spans="1:11" x14ac:dyDescent="0.25">
      <c r="A165" s="468"/>
      <c r="B165" s="47" t="s">
        <v>504</v>
      </c>
      <c r="C165" s="42" t="s">
        <v>1975</v>
      </c>
      <c r="D165" s="187">
        <v>4</v>
      </c>
      <c r="E165" s="253">
        <v>61239</v>
      </c>
      <c r="F165" s="41" t="s">
        <v>2257</v>
      </c>
      <c r="G165" s="42" t="s">
        <v>1956</v>
      </c>
      <c r="H165" s="187">
        <v>12</v>
      </c>
      <c r="I165" s="253">
        <v>100638502</v>
      </c>
      <c r="J165" s="45" t="s">
        <v>2258</v>
      </c>
      <c r="K165" s="186" t="s">
        <v>2259</v>
      </c>
    </row>
    <row r="166" spans="1:11" x14ac:dyDescent="0.25">
      <c r="A166" s="468"/>
      <c r="B166" s="47" t="s">
        <v>504</v>
      </c>
      <c r="C166" s="42" t="s">
        <v>1975</v>
      </c>
      <c r="D166" s="42">
        <v>5</v>
      </c>
      <c r="E166" s="43">
        <v>1361124</v>
      </c>
      <c r="F166" s="45" t="s">
        <v>2739</v>
      </c>
      <c r="G166" s="42" t="s">
        <v>1956</v>
      </c>
      <c r="H166" s="42">
        <v>11</v>
      </c>
      <c r="I166" s="43">
        <v>83486508</v>
      </c>
      <c r="J166" s="47" t="s">
        <v>2252</v>
      </c>
      <c r="K166" s="186" t="s">
        <v>2253</v>
      </c>
    </row>
    <row r="167" spans="1:11" x14ac:dyDescent="0.25">
      <c r="A167" s="468"/>
      <c r="B167" s="47" t="s">
        <v>504</v>
      </c>
      <c r="C167" s="42" t="s">
        <v>1975</v>
      </c>
      <c r="D167" s="42">
        <v>5</v>
      </c>
      <c r="E167" s="43">
        <v>1366086</v>
      </c>
      <c r="F167" s="45" t="s">
        <v>2739</v>
      </c>
      <c r="G167" s="42" t="s">
        <v>1956</v>
      </c>
      <c r="H167" s="42">
        <v>11</v>
      </c>
      <c r="I167" s="43">
        <v>83688536</v>
      </c>
      <c r="J167" s="47" t="s">
        <v>2252</v>
      </c>
      <c r="K167" s="186" t="s">
        <v>2253</v>
      </c>
    </row>
    <row r="168" spans="1:11" x14ac:dyDescent="0.25">
      <c r="A168" s="468"/>
      <c r="B168" s="47" t="s">
        <v>504</v>
      </c>
      <c r="C168" s="42" t="s">
        <v>1954</v>
      </c>
      <c r="D168" s="42">
        <v>6</v>
      </c>
      <c r="E168" s="43">
        <v>74429913</v>
      </c>
      <c r="F168" s="41" t="s">
        <v>2260</v>
      </c>
      <c r="G168" s="42" t="s">
        <v>1956</v>
      </c>
      <c r="H168" s="42">
        <v>6</v>
      </c>
      <c r="I168" s="43">
        <v>74431193</v>
      </c>
      <c r="J168" s="41" t="s">
        <v>2260</v>
      </c>
      <c r="K168" s="186"/>
    </row>
    <row r="169" spans="1:11" x14ac:dyDescent="0.25">
      <c r="A169" s="468"/>
      <c r="B169" s="47" t="s">
        <v>504</v>
      </c>
      <c r="C169" s="42" t="s">
        <v>1960</v>
      </c>
      <c r="D169" s="42">
        <v>7</v>
      </c>
      <c r="E169" s="43">
        <v>76918331</v>
      </c>
      <c r="F169" s="41" t="s">
        <v>2261</v>
      </c>
      <c r="G169" s="42" t="s">
        <v>1956</v>
      </c>
      <c r="H169" s="42">
        <v>7</v>
      </c>
      <c r="I169" s="43">
        <v>76918418</v>
      </c>
      <c r="J169" s="41" t="s">
        <v>2261</v>
      </c>
      <c r="K169" s="186"/>
    </row>
    <row r="170" spans="1:11" x14ac:dyDescent="0.25">
      <c r="A170" s="468"/>
      <c r="B170" s="47" t="s">
        <v>504</v>
      </c>
      <c r="C170" s="42" t="s">
        <v>1954</v>
      </c>
      <c r="D170" s="42">
        <v>9</v>
      </c>
      <c r="E170" s="43">
        <v>23732606</v>
      </c>
      <c r="F170" s="45" t="s">
        <v>2262</v>
      </c>
      <c r="G170" s="42" t="s">
        <v>1956</v>
      </c>
      <c r="H170" s="42">
        <v>9</v>
      </c>
      <c r="I170" s="43">
        <v>23770037</v>
      </c>
      <c r="J170" s="45" t="s">
        <v>2262</v>
      </c>
      <c r="K170" s="186" t="s">
        <v>2263</v>
      </c>
    </row>
    <row r="171" spans="1:11" x14ac:dyDescent="0.25">
      <c r="A171" s="468"/>
      <c r="B171" s="47" t="s">
        <v>504</v>
      </c>
      <c r="C171" s="42" t="s">
        <v>1960</v>
      </c>
      <c r="D171" s="42">
        <v>9</v>
      </c>
      <c r="E171" s="43">
        <v>23736559</v>
      </c>
      <c r="F171" s="45" t="s">
        <v>2262</v>
      </c>
      <c r="G171" s="42" t="s">
        <v>1956</v>
      </c>
      <c r="H171" s="42">
        <v>9</v>
      </c>
      <c r="I171" s="43">
        <v>23761569</v>
      </c>
      <c r="J171" s="45" t="s">
        <v>2262</v>
      </c>
      <c r="K171" s="186" t="s">
        <v>2263</v>
      </c>
    </row>
    <row r="172" spans="1:11" x14ac:dyDescent="0.25">
      <c r="A172" s="468"/>
      <c r="B172" s="47" t="s">
        <v>504</v>
      </c>
      <c r="C172" s="42" t="s">
        <v>1960</v>
      </c>
      <c r="D172" s="42">
        <v>9</v>
      </c>
      <c r="E172" s="43">
        <v>23767447</v>
      </c>
      <c r="F172" s="45" t="s">
        <v>2262</v>
      </c>
      <c r="G172" s="42" t="s">
        <v>1956</v>
      </c>
      <c r="H172" s="42">
        <v>9</v>
      </c>
      <c r="I172" s="43">
        <v>23776858</v>
      </c>
      <c r="J172" s="45" t="s">
        <v>2262</v>
      </c>
      <c r="K172" s="186" t="s">
        <v>2263</v>
      </c>
    </row>
    <row r="173" spans="1:11" x14ac:dyDescent="0.25">
      <c r="A173" s="468"/>
      <c r="B173" s="47" t="s">
        <v>504</v>
      </c>
      <c r="C173" s="42" t="s">
        <v>1960</v>
      </c>
      <c r="D173" s="42">
        <v>9</v>
      </c>
      <c r="E173" s="43">
        <v>23776731</v>
      </c>
      <c r="F173" s="41" t="s">
        <v>2264</v>
      </c>
      <c r="G173" s="42" t="s">
        <v>1956</v>
      </c>
      <c r="H173" s="42">
        <v>9</v>
      </c>
      <c r="I173" s="43">
        <v>23813493</v>
      </c>
      <c r="J173" s="41" t="s">
        <v>2264</v>
      </c>
      <c r="K173" s="186"/>
    </row>
    <row r="174" spans="1:11" x14ac:dyDescent="0.25">
      <c r="A174" s="468"/>
      <c r="B174" s="47" t="s">
        <v>504</v>
      </c>
      <c r="C174" s="42" t="s">
        <v>1954</v>
      </c>
      <c r="D174" s="42">
        <v>9</v>
      </c>
      <c r="E174" s="43">
        <v>72418767</v>
      </c>
      <c r="F174" s="41" t="s">
        <v>2265</v>
      </c>
      <c r="G174" s="42" t="s">
        <v>1956</v>
      </c>
      <c r="H174" s="42">
        <v>9</v>
      </c>
      <c r="I174" s="43">
        <v>72440339</v>
      </c>
      <c r="J174" s="47" t="s">
        <v>2266</v>
      </c>
      <c r="K174" s="186" t="s">
        <v>2267</v>
      </c>
    </row>
    <row r="175" spans="1:11" x14ac:dyDescent="0.25">
      <c r="A175" s="468"/>
      <c r="B175" s="47" t="s">
        <v>504</v>
      </c>
      <c r="C175" s="42" t="s">
        <v>1954</v>
      </c>
      <c r="D175" s="42">
        <v>9</v>
      </c>
      <c r="E175" s="43">
        <v>84750014</v>
      </c>
      <c r="F175" s="41" t="s">
        <v>2268</v>
      </c>
      <c r="G175" s="42" t="s">
        <v>1956</v>
      </c>
      <c r="H175" s="42">
        <v>9</v>
      </c>
      <c r="I175" s="43">
        <v>84759360</v>
      </c>
      <c r="J175" s="41" t="s">
        <v>2268</v>
      </c>
      <c r="K175" s="186"/>
    </row>
    <row r="176" spans="1:11" x14ac:dyDescent="0.25">
      <c r="A176" s="468"/>
      <c r="B176" s="47" t="s">
        <v>504</v>
      </c>
      <c r="C176" s="42" t="s">
        <v>1954</v>
      </c>
      <c r="D176" s="42">
        <v>9</v>
      </c>
      <c r="E176" s="43">
        <v>103463299</v>
      </c>
      <c r="F176" s="41" t="s">
        <v>2269</v>
      </c>
      <c r="G176" s="42" t="s">
        <v>1956</v>
      </c>
      <c r="H176" s="42">
        <v>9</v>
      </c>
      <c r="I176" s="43">
        <v>103506571</v>
      </c>
      <c r="J176" s="41" t="s">
        <v>2269</v>
      </c>
      <c r="K176" s="186"/>
    </row>
    <row r="177" spans="1:11" x14ac:dyDescent="0.25">
      <c r="A177" s="468"/>
      <c r="B177" s="47" t="s">
        <v>504</v>
      </c>
      <c r="C177" s="42" t="s">
        <v>1954</v>
      </c>
      <c r="D177" s="42">
        <v>9</v>
      </c>
      <c r="E177" s="43">
        <v>115947099</v>
      </c>
      <c r="F177" s="41" t="s">
        <v>2270</v>
      </c>
      <c r="G177" s="42" t="s">
        <v>1956</v>
      </c>
      <c r="H177" s="42">
        <v>9</v>
      </c>
      <c r="I177" s="43">
        <v>115947186</v>
      </c>
      <c r="J177" s="47" t="s">
        <v>2271</v>
      </c>
      <c r="K177" s="186" t="s">
        <v>2272</v>
      </c>
    </row>
    <row r="178" spans="1:11" x14ac:dyDescent="0.25">
      <c r="A178" s="468"/>
      <c r="B178" s="47" t="s">
        <v>504</v>
      </c>
      <c r="C178" s="42" t="s">
        <v>1954</v>
      </c>
      <c r="D178" s="42">
        <v>9</v>
      </c>
      <c r="E178" s="43">
        <v>139569543</v>
      </c>
      <c r="F178" s="41" t="s">
        <v>2273</v>
      </c>
      <c r="G178" s="42" t="s">
        <v>1956</v>
      </c>
      <c r="H178" s="42">
        <v>9</v>
      </c>
      <c r="I178" s="43">
        <v>139570474</v>
      </c>
      <c r="J178" s="47" t="s">
        <v>2273</v>
      </c>
      <c r="K178" s="186"/>
    </row>
    <row r="179" spans="1:11" x14ac:dyDescent="0.25">
      <c r="A179" s="468"/>
      <c r="B179" s="47" t="s">
        <v>504</v>
      </c>
      <c r="C179" s="42" t="s">
        <v>1954</v>
      </c>
      <c r="D179" s="42">
        <v>11</v>
      </c>
      <c r="E179" s="43">
        <v>15578435</v>
      </c>
      <c r="F179" s="45" t="s">
        <v>2274</v>
      </c>
      <c r="G179" s="42" t="s">
        <v>1956</v>
      </c>
      <c r="H179" s="42">
        <v>11</v>
      </c>
      <c r="I179" s="43">
        <v>15669290</v>
      </c>
      <c r="J179" s="185" t="s">
        <v>2274</v>
      </c>
      <c r="K179" s="186"/>
    </row>
    <row r="180" spans="1:11" x14ac:dyDescent="0.25">
      <c r="A180" s="468"/>
      <c r="B180" s="47" t="s">
        <v>504</v>
      </c>
      <c r="C180" s="42" t="s">
        <v>1960</v>
      </c>
      <c r="D180" s="42">
        <v>11</v>
      </c>
      <c r="E180" s="43">
        <v>71867440</v>
      </c>
      <c r="F180" s="45" t="s">
        <v>2275</v>
      </c>
      <c r="G180" s="42" t="s">
        <v>1956</v>
      </c>
      <c r="H180" s="42">
        <v>11</v>
      </c>
      <c r="I180" s="43">
        <v>71966014</v>
      </c>
      <c r="J180" s="45" t="s">
        <v>2276</v>
      </c>
      <c r="K180" s="186"/>
    </row>
    <row r="181" spans="1:11" x14ac:dyDescent="0.25">
      <c r="A181" s="468"/>
      <c r="B181" s="47" t="s">
        <v>504</v>
      </c>
      <c r="C181" s="42" t="s">
        <v>1975</v>
      </c>
      <c r="D181" s="42">
        <v>11</v>
      </c>
      <c r="E181" s="43">
        <v>71966681</v>
      </c>
      <c r="F181" s="45" t="s">
        <v>2276</v>
      </c>
      <c r="G181" s="42" t="s">
        <v>1956</v>
      </c>
      <c r="H181" s="42">
        <v>17</v>
      </c>
      <c r="I181" s="43">
        <v>32438174</v>
      </c>
      <c r="J181" s="185" t="s">
        <v>2277</v>
      </c>
      <c r="K181" s="186" t="s">
        <v>2278</v>
      </c>
    </row>
    <row r="182" spans="1:11" x14ac:dyDescent="0.25">
      <c r="A182" s="468"/>
      <c r="B182" s="47" t="s">
        <v>504</v>
      </c>
      <c r="C182" s="42" t="s">
        <v>1954</v>
      </c>
      <c r="D182" s="42">
        <v>12</v>
      </c>
      <c r="E182" s="43">
        <v>110143119</v>
      </c>
      <c r="F182" s="45" t="s">
        <v>2279</v>
      </c>
      <c r="G182" s="42" t="s">
        <v>1956</v>
      </c>
      <c r="H182" s="42">
        <v>12</v>
      </c>
      <c r="I182" s="43">
        <v>110157046</v>
      </c>
      <c r="J182" s="47" t="s">
        <v>2280</v>
      </c>
      <c r="K182" s="186"/>
    </row>
    <row r="183" spans="1:11" x14ac:dyDescent="0.25">
      <c r="A183" s="468"/>
      <c r="B183" s="47" t="s">
        <v>504</v>
      </c>
      <c r="C183" s="42" t="s">
        <v>1960</v>
      </c>
      <c r="D183" s="42">
        <v>12</v>
      </c>
      <c r="E183" s="43">
        <v>110143383</v>
      </c>
      <c r="F183" s="45" t="s">
        <v>2281</v>
      </c>
      <c r="G183" s="42" t="s">
        <v>1956</v>
      </c>
      <c r="H183" s="42">
        <v>12</v>
      </c>
      <c r="I183" s="43">
        <v>110151126</v>
      </c>
      <c r="J183" s="47" t="s">
        <v>2280</v>
      </c>
      <c r="K183" s="186"/>
    </row>
    <row r="184" spans="1:11" x14ac:dyDescent="0.25">
      <c r="A184" s="468"/>
      <c r="B184" s="47" t="s">
        <v>504</v>
      </c>
      <c r="C184" s="42" t="s">
        <v>1958</v>
      </c>
      <c r="D184" s="187">
        <v>12</v>
      </c>
      <c r="E184" s="253">
        <v>116474451</v>
      </c>
      <c r="F184" s="45" t="s">
        <v>2282</v>
      </c>
      <c r="G184" s="42" t="s">
        <v>1956</v>
      </c>
      <c r="H184" s="187" t="s">
        <v>2005</v>
      </c>
      <c r="I184" s="43"/>
      <c r="J184" s="42"/>
      <c r="K184" s="186" t="s">
        <v>2283</v>
      </c>
    </row>
    <row r="185" spans="1:11" x14ac:dyDescent="0.25">
      <c r="A185" s="468"/>
      <c r="B185" s="47" t="s">
        <v>504</v>
      </c>
      <c r="C185" s="42" t="s">
        <v>1954</v>
      </c>
      <c r="D185" s="42">
        <v>12</v>
      </c>
      <c r="E185" s="43">
        <v>127560001</v>
      </c>
      <c r="F185" s="41" t="s">
        <v>2284</v>
      </c>
      <c r="G185" s="42" t="s">
        <v>1956</v>
      </c>
      <c r="H185" s="42">
        <v>12</v>
      </c>
      <c r="I185" s="43">
        <v>127562102</v>
      </c>
      <c r="J185" s="41" t="s">
        <v>2284</v>
      </c>
      <c r="K185" s="186"/>
    </row>
    <row r="186" spans="1:11" x14ac:dyDescent="0.25">
      <c r="A186" s="468"/>
      <c r="B186" s="47" t="s">
        <v>504</v>
      </c>
      <c r="C186" s="42" t="s">
        <v>1954</v>
      </c>
      <c r="D186" s="42">
        <v>15</v>
      </c>
      <c r="E186" s="43">
        <v>75412708</v>
      </c>
      <c r="F186" s="45" t="s">
        <v>2732</v>
      </c>
      <c r="G186" s="42" t="s">
        <v>1956</v>
      </c>
      <c r="H186" s="42">
        <v>15</v>
      </c>
      <c r="I186" s="43">
        <v>75447965</v>
      </c>
      <c r="J186" s="185" t="s">
        <v>2732</v>
      </c>
      <c r="K186" s="186"/>
    </row>
    <row r="187" spans="1:11" x14ac:dyDescent="0.25">
      <c r="A187" s="468"/>
      <c r="B187" s="47" t="s">
        <v>504</v>
      </c>
      <c r="C187" s="42" t="s">
        <v>1960</v>
      </c>
      <c r="D187" s="42">
        <v>19</v>
      </c>
      <c r="E187" s="43">
        <v>49071716</v>
      </c>
      <c r="F187" s="41" t="s">
        <v>2285</v>
      </c>
      <c r="G187" s="42" t="s">
        <v>1956</v>
      </c>
      <c r="H187" s="42">
        <v>19</v>
      </c>
      <c r="I187" s="43">
        <v>49071957</v>
      </c>
      <c r="J187" s="41" t="s">
        <v>2285</v>
      </c>
      <c r="K187" s="186"/>
    </row>
    <row r="188" spans="1:11" x14ac:dyDescent="0.25">
      <c r="A188" s="468"/>
      <c r="B188" s="54" t="s">
        <v>153</v>
      </c>
      <c r="C188" s="49" t="s">
        <v>1954</v>
      </c>
      <c r="D188" s="49">
        <v>2</v>
      </c>
      <c r="E188" s="50">
        <v>2514516</v>
      </c>
      <c r="F188" s="48" t="s">
        <v>2286</v>
      </c>
      <c r="G188" s="49" t="s">
        <v>1956</v>
      </c>
      <c r="H188" s="49">
        <v>2</v>
      </c>
      <c r="I188" s="50">
        <v>2573680</v>
      </c>
      <c r="J188" s="54" t="s">
        <v>2287</v>
      </c>
      <c r="K188" s="188"/>
    </row>
    <row r="189" spans="1:11" x14ac:dyDescent="0.25">
      <c r="A189" s="468"/>
      <c r="B189" s="54" t="s">
        <v>153</v>
      </c>
      <c r="C189" s="49" t="s">
        <v>1960</v>
      </c>
      <c r="D189" s="49">
        <v>2</v>
      </c>
      <c r="E189" s="50">
        <v>109321155</v>
      </c>
      <c r="F189" s="48" t="s">
        <v>2288</v>
      </c>
      <c r="G189" s="49" t="s">
        <v>1956</v>
      </c>
      <c r="H189" s="49">
        <v>2</v>
      </c>
      <c r="I189" s="50">
        <v>109321217</v>
      </c>
      <c r="J189" s="48" t="s">
        <v>2288</v>
      </c>
      <c r="K189" s="188"/>
    </row>
    <row r="190" spans="1:11" x14ac:dyDescent="0.25">
      <c r="A190" s="468"/>
      <c r="B190" s="54" t="s">
        <v>153</v>
      </c>
      <c r="C190" s="49" t="s">
        <v>1954</v>
      </c>
      <c r="D190" s="49">
        <v>2</v>
      </c>
      <c r="E190" s="50">
        <v>131915143</v>
      </c>
      <c r="F190" s="48" t="s">
        <v>2289</v>
      </c>
      <c r="G190" s="49" t="s">
        <v>1956</v>
      </c>
      <c r="H190" s="49">
        <v>2</v>
      </c>
      <c r="I190" s="50">
        <v>131915797</v>
      </c>
      <c r="J190" s="48" t="s">
        <v>2289</v>
      </c>
      <c r="K190" s="188"/>
    </row>
    <row r="191" spans="1:11" x14ac:dyDescent="0.25">
      <c r="A191" s="468"/>
      <c r="B191" s="54" t="s">
        <v>153</v>
      </c>
      <c r="C191" s="49" t="s">
        <v>1960</v>
      </c>
      <c r="D191" s="49">
        <v>2</v>
      </c>
      <c r="E191" s="50">
        <v>186807560</v>
      </c>
      <c r="F191" s="48" t="s">
        <v>2290</v>
      </c>
      <c r="G191" s="49" t="s">
        <v>1956</v>
      </c>
      <c r="H191" s="49">
        <v>2</v>
      </c>
      <c r="I191" s="50">
        <v>186815121</v>
      </c>
      <c r="J191" s="48" t="s">
        <v>2290</v>
      </c>
      <c r="K191" s="188"/>
    </row>
    <row r="192" spans="1:11" x14ac:dyDescent="0.25">
      <c r="A192" s="468"/>
      <c r="B192" s="54" t="s">
        <v>153</v>
      </c>
      <c r="C192" s="49" t="s">
        <v>1960</v>
      </c>
      <c r="D192" s="49">
        <v>3</v>
      </c>
      <c r="E192" s="50">
        <v>191903395</v>
      </c>
      <c r="F192" s="48" t="s">
        <v>2291</v>
      </c>
      <c r="G192" s="49" t="s">
        <v>1956</v>
      </c>
      <c r="H192" s="49">
        <v>3</v>
      </c>
      <c r="I192" s="50">
        <v>191903509</v>
      </c>
      <c r="J192" s="48" t="s">
        <v>2291</v>
      </c>
      <c r="K192" s="188"/>
    </row>
    <row r="193" spans="1:11" x14ac:dyDescent="0.25">
      <c r="A193" s="468"/>
      <c r="B193" s="54" t="s">
        <v>153</v>
      </c>
      <c r="C193" s="49" t="s">
        <v>1960</v>
      </c>
      <c r="D193" s="49">
        <v>3</v>
      </c>
      <c r="E193" s="50">
        <v>191916669</v>
      </c>
      <c r="F193" s="48" t="s">
        <v>2292</v>
      </c>
      <c r="G193" s="49" t="s">
        <v>1956</v>
      </c>
      <c r="H193" s="49">
        <v>3</v>
      </c>
      <c r="I193" s="50">
        <v>192046073</v>
      </c>
      <c r="J193" s="48" t="s">
        <v>2292</v>
      </c>
      <c r="K193" s="188" t="s">
        <v>2293</v>
      </c>
    </row>
    <row r="194" spans="1:11" x14ac:dyDescent="0.25">
      <c r="A194" s="468"/>
      <c r="B194" s="54" t="s">
        <v>153</v>
      </c>
      <c r="C194" s="49" t="s">
        <v>1954</v>
      </c>
      <c r="D194" s="49">
        <v>4</v>
      </c>
      <c r="E194" s="50">
        <v>421014</v>
      </c>
      <c r="F194" s="52" t="s">
        <v>2294</v>
      </c>
      <c r="G194" s="49" t="s">
        <v>1956</v>
      </c>
      <c r="H194" s="49">
        <v>4</v>
      </c>
      <c r="I194" s="50">
        <v>505770</v>
      </c>
      <c r="J194" s="54" t="s">
        <v>2295</v>
      </c>
      <c r="K194" s="188" t="s">
        <v>2296</v>
      </c>
    </row>
    <row r="195" spans="1:11" x14ac:dyDescent="0.25">
      <c r="A195" s="468"/>
      <c r="B195" s="54" t="s">
        <v>153</v>
      </c>
      <c r="C195" s="49" t="s">
        <v>1960</v>
      </c>
      <c r="D195" s="49">
        <v>4</v>
      </c>
      <c r="E195" s="50">
        <v>98824659</v>
      </c>
      <c r="F195" s="48" t="s">
        <v>2297</v>
      </c>
      <c r="G195" s="49" t="s">
        <v>1956</v>
      </c>
      <c r="H195" s="49">
        <v>4</v>
      </c>
      <c r="I195" s="50">
        <v>98825627</v>
      </c>
      <c r="J195" s="48" t="s">
        <v>2297</v>
      </c>
      <c r="K195" s="188"/>
    </row>
    <row r="196" spans="1:11" x14ac:dyDescent="0.25">
      <c r="A196" s="468"/>
      <c r="B196" s="54" t="s">
        <v>153</v>
      </c>
      <c r="C196" s="49" t="s">
        <v>1954</v>
      </c>
      <c r="D196" s="49">
        <v>4</v>
      </c>
      <c r="E196" s="50">
        <v>141098109</v>
      </c>
      <c r="F196" s="52" t="s">
        <v>2298</v>
      </c>
      <c r="G196" s="49" t="s">
        <v>1956</v>
      </c>
      <c r="H196" s="49">
        <v>4</v>
      </c>
      <c r="I196" s="50">
        <v>141321252</v>
      </c>
      <c r="J196" s="189" t="s">
        <v>2299</v>
      </c>
      <c r="K196" s="188" t="s">
        <v>2300</v>
      </c>
    </row>
    <row r="197" spans="1:11" x14ac:dyDescent="0.25">
      <c r="A197" s="468"/>
      <c r="B197" s="54" t="s">
        <v>153</v>
      </c>
      <c r="C197" s="49" t="s">
        <v>1954</v>
      </c>
      <c r="D197" s="49">
        <v>5</v>
      </c>
      <c r="E197" s="50">
        <v>62584756</v>
      </c>
      <c r="F197" s="52" t="s">
        <v>2301</v>
      </c>
      <c r="G197" s="49" t="s">
        <v>1956</v>
      </c>
      <c r="H197" s="49">
        <v>5</v>
      </c>
      <c r="I197" s="50">
        <v>62606655</v>
      </c>
      <c r="J197" s="189" t="s">
        <v>2301</v>
      </c>
      <c r="K197" s="188"/>
    </row>
    <row r="198" spans="1:11" x14ac:dyDescent="0.25">
      <c r="A198" s="468"/>
      <c r="B198" s="54" t="s">
        <v>153</v>
      </c>
      <c r="C198" s="49" t="s">
        <v>1954</v>
      </c>
      <c r="D198" s="49">
        <v>6</v>
      </c>
      <c r="E198" s="50">
        <v>137980894</v>
      </c>
      <c r="F198" s="48" t="s">
        <v>2302</v>
      </c>
      <c r="G198" s="49" t="s">
        <v>1956</v>
      </c>
      <c r="H198" s="49">
        <v>6</v>
      </c>
      <c r="I198" s="50">
        <v>137984161</v>
      </c>
      <c r="J198" s="54" t="s">
        <v>2302</v>
      </c>
      <c r="K198" s="188"/>
    </row>
    <row r="199" spans="1:11" x14ac:dyDescent="0.25">
      <c r="A199" s="468"/>
      <c r="B199" s="54" t="s">
        <v>153</v>
      </c>
      <c r="C199" s="49" t="s">
        <v>1960</v>
      </c>
      <c r="D199" s="49">
        <v>7</v>
      </c>
      <c r="E199" s="50">
        <v>36894832</v>
      </c>
      <c r="F199" s="52" t="s">
        <v>2303</v>
      </c>
      <c r="G199" s="49" t="s">
        <v>1956</v>
      </c>
      <c r="H199" s="49">
        <v>7</v>
      </c>
      <c r="I199" s="50">
        <v>37013562</v>
      </c>
      <c r="J199" s="52" t="s">
        <v>2303</v>
      </c>
      <c r="K199" s="188" t="s">
        <v>2304</v>
      </c>
    </row>
    <row r="200" spans="1:11" x14ac:dyDescent="0.25">
      <c r="A200" s="468"/>
      <c r="B200" s="54" t="s">
        <v>153</v>
      </c>
      <c r="C200" s="49" t="s">
        <v>1960</v>
      </c>
      <c r="D200" s="49">
        <v>8</v>
      </c>
      <c r="E200" s="50">
        <v>42699038</v>
      </c>
      <c r="F200" s="52" t="s">
        <v>2305</v>
      </c>
      <c r="G200" s="49" t="s">
        <v>1956</v>
      </c>
      <c r="H200" s="49">
        <v>8</v>
      </c>
      <c r="I200" s="50">
        <v>42926342</v>
      </c>
      <c r="J200" s="54" t="s">
        <v>2306</v>
      </c>
      <c r="K200" s="188" t="s">
        <v>2307</v>
      </c>
    </row>
    <row r="201" spans="1:11" x14ac:dyDescent="0.25">
      <c r="A201" s="468"/>
      <c r="B201" s="54" t="s">
        <v>153</v>
      </c>
      <c r="C201" s="49" t="s">
        <v>1975</v>
      </c>
      <c r="D201" s="49">
        <v>8</v>
      </c>
      <c r="E201" s="50">
        <v>144253635</v>
      </c>
      <c r="F201" s="48" t="s">
        <v>2308</v>
      </c>
      <c r="G201" s="49" t="s">
        <v>1956</v>
      </c>
      <c r="H201" s="49">
        <v>16</v>
      </c>
      <c r="I201" s="50">
        <v>89304507</v>
      </c>
      <c r="J201" s="54" t="s">
        <v>2309</v>
      </c>
      <c r="K201" s="188"/>
    </row>
    <row r="202" spans="1:11" x14ac:dyDescent="0.25">
      <c r="A202" s="468"/>
      <c r="B202" s="54" t="s">
        <v>153</v>
      </c>
      <c r="C202" s="49" t="s">
        <v>1964</v>
      </c>
      <c r="D202" s="49">
        <v>8</v>
      </c>
      <c r="E202" s="50">
        <v>144336012</v>
      </c>
      <c r="F202" s="52" t="s">
        <v>2310</v>
      </c>
      <c r="G202" s="49" t="s">
        <v>1956</v>
      </c>
      <c r="H202" s="49">
        <v>8</v>
      </c>
      <c r="I202" s="50">
        <v>146261307</v>
      </c>
      <c r="J202" s="189" t="s">
        <v>2311</v>
      </c>
      <c r="K202" s="188" t="s">
        <v>2312</v>
      </c>
    </row>
    <row r="203" spans="1:11" x14ac:dyDescent="0.25">
      <c r="A203" s="468"/>
      <c r="B203" s="54" t="s">
        <v>153</v>
      </c>
      <c r="C203" s="49" t="s">
        <v>1975</v>
      </c>
      <c r="D203" s="49">
        <v>9</v>
      </c>
      <c r="E203" s="50">
        <v>35550193</v>
      </c>
      <c r="F203" s="48" t="s">
        <v>2313</v>
      </c>
      <c r="G203" s="49" t="s">
        <v>1956</v>
      </c>
      <c r="H203" s="49">
        <v>19</v>
      </c>
      <c r="I203" s="50">
        <v>12938689</v>
      </c>
      <c r="J203" s="54" t="s">
        <v>2314</v>
      </c>
      <c r="K203" s="188" t="s">
        <v>2315</v>
      </c>
    </row>
    <row r="204" spans="1:11" x14ac:dyDescent="0.25">
      <c r="A204" s="468"/>
      <c r="B204" s="54" t="s">
        <v>153</v>
      </c>
      <c r="C204" s="49" t="s">
        <v>1958</v>
      </c>
      <c r="D204" s="49">
        <v>9</v>
      </c>
      <c r="E204" s="50">
        <v>113280058</v>
      </c>
      <c r="F204" s="48" t="s">
        <v>2316</v>
      </c>
      <c r="G204" s="49" t="s">
        <v>1956</v>
      </c>
      <c r="H204" s="190" t="s">
        <v>2005</v>
      </c>
      <c r="I204" s="50"/>
      <c r="J204" s="54"/>
      <c r="K204" s="188"/>
    </row>
    <row r="205" spans="1:11" x14ac:dyDescent="0.25">
      <c r="A205" s="468"/>
      <c r="B205" s="54" t="s">
        <v>153</v>
      </c>
      <c r="C205" s="49" t="s">
        <v>1958</v>
      </c>
      <c r="D205" s="49">
        <v>9</v>
      </c>
      <c r="E205" s="50">
        <v>114080000</v>
      </c>
      <c r="F205" s="48" t="s">
        <v>2317</v>
      </c>
      <c r="G205" s="49" t="s">
        <v>1956</v>
      </c>
      <c r="H205" s="190" t="s">
        <v>2005</v>
      </c>
      <c r="I205" s="50"/>
      <c r="J205" s="54"/>
      <c r="K205" s="188"/>
    </row>
    <row r="206" spans="1:11" x14ac:dyDescent="0.25">
      <c r="A206" s="468"/>
      <c r="B206" s="54" t="s">
        <v>153</v>
      </c>
      <c r="C206" s="49" t="s">
        <v>1975</v>
      </c>
      <c r="D206" s="49">
        <v>11</v>
      </c>
      <c r="E206" s="50">
        <v>73099091</v>
      </c>
      <c r="F206" s="52" t="s">
        <v>2318</v>
      </c>
      <c r="G206" s="49" t="s">
        <v>1956</v>
      </c>
      <c r="H206" s="49">
        <v>12</v>
      </c>
      <c r="I206" s="50">
        <v>130688885</v>
      </c>
      <c r="J206" s="189" t="s">
        <v>2319</v>
      </c>
      <c r="K206" s="188" t="s">
        <v>2320</v>
      </c>
    </row>
    <row r="207" spans="1:11" x14ac:dyDescent="0.25">
      <c r="A207" s="468"/>
      <c r="B207" s="54" t="s">
        <v>153</v>
      </c>
      <c r="C207" s="49" t="s">
        <v>1954</v>
      </c>
      <c r="D207" s="49">
        <v>12</v>
      </c>
      <c r="E207" s="50">
        <v>18055866</v>
      </c>
      <c r="F207" s="52" t="s">
        <v>2321</v>
      </c>
      <c r="G207" s="49" t="s">
        <v>1956</v>
      </c>
      <c r="H207" s="49">
        <v>12</v>
      </c>
      <c r="I207" s="50">
        <v>18075769</v>
      </c>
      <c r="J207" s="189" t="s">
        <v>2321</v>
      </c>
      <c r="K207" s="188"/>
    </row>
    <row r="208" spans="1:11" x14ac:dyDescent="0.25">
      <c r="A208" s="468"/>
      <c r="B208" s="54" t="s">
        <v>153</v>
      </c>
      <c r="C208" s="49" t="s">
        <v>1954</v>
      </c>
      <c r="D208" s="49">
        <v>12</v>
      </c>
      <c r="E208" s="50">
        <v>44788925</v>
      </c>
      <c r="F208" s="52" t="s">
        <v>2322</v>
      </c>
      <c r="G208" s="49" t="s">
        <v>1956</v>
      </c>
      <c r="H208" s="49">
        <v>12</v>
      </c>
      <c r="I208" s="50">
        <v>44920301</v>
      </c>
      <c r="J208" s="189" t="s">
        <v>2323</v>
      </c>
      <c r="K208" s="188" t="s">
        <v>2324</v>
      </c>
    </row>
    <row r="209" spans="1:11" x14ac:dyDescent="0.25">
      <c r="A209" s="468"/>
      <c r="B209" s="54" t="s">
        <v>153</v>
      </c>
      <c r="C209" s="49" t="s">
        <v>1960</v>
      </c>
      <c r="D209" s="49">
        <v>13</v>
      </c>
      <c r="E209" s="50">
        <v>19868671</v>
      </c>
      <c r="F209" s="48" t="s">
        <v>2325</v>
      </c>
      <c r="G209" s="49" t="s">
        <v>1956</v>
      </c>
      <c r="H209" s="49">
        <v>13</v>
      </c>
      <c r="I209" s="50">
        <v>19868819</v>
      </c>
      <c r="J209" s="48" t="s">
        <v>2325</v>
      </c>
      <c r="K209" s="188" t="s">
        <v>2326</v>
      </c>
    </row>
    <row r="210" spans="1:11" x14ac:dyDescent="0.25">
      <c r="A210" s="468"/>
      <c r="B210" s="54" t="s">
        <v>153</v>
      </c>
      <c r="C210" s="49" t="s">
        <v>1954</v>
      </c>
      <c r="D210" s="49">
        <v>14</v>
      </c>
      <c r="E210" s="50">
        <v>37070693</v>
      </c>
      <c r="F210" s="48" t="s">
        <v>2327</v>
      </c>
      <c r="G210" s="49" t="s">
        <v>1956</v>
      </c>
      <c r="H210" s="49">
        <v>14</v>
      </c>
      <c r="I210" s="50">
        <v>37075927</v>
      </c>
      <c r="J210" s="48" t="s">
        <v>2327</v>
      </c>
      <c r="K210" s="188"/>
    </row>
    <row r="211" spans="1:11" x14ac:dyDescent="0.25">
      <c r="A211" s="468"/>
      <c r="B211" s="54" t="s">
        <v>153</v>
      </c>
      <c r="C211" s="49" t="s">
        <v>1975</v>
      </c>
      <c r="D211" s="49">
        <v>16</v>
      </c>
      <c r="E211" s="50">
        <v>73541930</v>
      </c>
      <c r="F211" s="52" t="s">
        <v>2328</v>
      </c>
      <c r="G211" s="49" t="s">
        <v>1956</v>
      </c>
      <c r="H211" s="49">
        <v>17</v>
      </c>
      <c r="I211" s="50">
        <v>78843850</v>
      </c>
      <c r="J211" s="189" t="s">
        <v>2329</v>
      </c>
      <c r="K211" s="188" t="s">
        <v>2330</v>
      </c>
    </row>
    <row r="212" spans="1:11" x14ac:dyDescent="0.25">
      <c r="A212" s="468"/>
      <c r="B212" s="54" t="s">
        <v>153</v>
      </c>
      <c r="C212" s="49" t="s">
        <v>1975</v>
      </c>
      <c r="D212" s="49">
        <v>16</v>
      </c>
      <c r="E212" s="50">
        <v>73605906</v>
      </c>
      <c r="F212" s="52" t="s">
        <v>2328</v>
      </c>
      <c r="G212" s="49" t="s">
        <v>1956</v>
      </c>
      <c r="H212" s="49">
        <v>17</v>
      </c>
      <c r="I212" s="50">
        <v>78843280</v>
      </c>
      <c r="J212" s="189" t="s">
        <v>2329</v>
      </c>
      <c r="K212" s="188" t="s">
        <v>2330</v>
      </c>
    </row>
    <row r="213" spans="1:11" x14ac:dyDescent="0.25">
      <c r="A213" s="468"/>
      <c r="B213" s="54" t="s">
        <v>153</v>
      </c>
      <c r="C213" s="49" t="s">
        <v>1958</v>
      </c>
      <c r="D213" s="190">
        <v>16</v>
      </c>
      <c r="E213" s="254">
        <v>89304391</v>
      </c>
      <c r="F213" s="52" t="s">
        <v>2309</v>
      </c>
      <c r="G213" s="49" t="s">
        <v>1956</v>
      </c>
      <c r="H213" s="190" t="s">
        <v>2005</v>
      </c>
      <c r="I213" s="50"/>
      <c r="J213" s="49"/>
      <c r="K213" s="188"/>
    </row>
    <row r="214" spans="1:11" x14ac:dyDescent="0.25">
      <c r="A214" s="468"/>
      <c r="B214" s="54" t="s">
        <v>153</v>
      </c>
      <c r="C214" s="49" t="s">
        <v>1954</v>
      </c>
      <c r="D214" s="49">
        <v>31</v>
      </c>
      <c r="E214" s="50">
        <v>1773143</v>
      </c>
      <c r="F214" s="52" t="s">
        <v>2331</v>
      </c>
      <c r="G214" s="49" t="s">
        <v>1956</v>
      </c>
      <c r="H214" s="49">
        <v>17</v>
      </c>
      <c r="I214" s="50">
        <v>1882812</v>
      </c>
      <c r="J214" s="189" t="s">
        <v>2332</v>
      </c>
      <c r="K214" s="188" t="s">
        <v>2333</v>
      </c>
    </row>
    <row r="215" spans="1:11" x14ac:dyDescent="0.25">
      <c r="A215" s="468"/>
      <c r="B215" s="54" t="s">
        <v>153</v>
      </c>
      <c r="C215" s="49" t="s">
        <v>1960</v>
      </c>
      <c r="D215" s="49">
        <v>17</v>
      </c>
      <c r="E215" s="50">
        <v>78828042</v>
      </c>
      <c r="F215" s="189" t="s">
        <v>2329</v>
      </c>
      <c r="G215" s="49" t="s">
        <v>1956</v>
      </c>
      <c r="H215" s="49">
        <v>17</v>
      </c>
      <c r="I215" s="50">
        <v>78843334</v>
      </c>
      <c r="J215" s="189" t="s">
        <v>2329</v>
      </c>
      <c r="K215" s="188" t="s">
        <v>2330</v>
      </c>
    </row>
    <row r="216" spans="1:11" x14ac:dyDescent="0.25">
      <c r="A216" s="468"/>
      <c r="B216" s="54" t="s">
        <v>153</v>
      </c>
      <c r="C216" s="49" t="s">
        <v>1960</v>
      </c>
      <c r="D216" s="49">
        <v>20</v>
      </c>
      <c r="E216" s="50">
        <v>31964408</v>
      </c>
      <c r="F216" s="52" t="s">
        <v>2334</v>
      </c>
      <c r="G216" s="49" t="s">
        <v>1956</v>
      </c>
      <c r="H216" s="49">
        <v>20</v>
      </c>
      <c r="I216" s="50">
        <v>31999106</v>
      </c>
      <c r="J216" s="189" t="s">
        <v>2335</v>
      </c>
      <c r="K216" s="188" t="s">
        <v>2336</v>
      </c>
    </row>
    <row r="217" spans="1:11" x14ac:dyDescent="0.25">
      <c r="A217" s="468"/>
      <c r="B217" s="54" t="s">
        <v>153</v>
      </c>
      <c r="C217" s="49" t="s">
        <v>1954</v>
      </c>
      <c r="D217" s="49" t="s">
        <v>379</v>
      </c>
      <c r="E217" s="50">
        <v>107591942</v>
      </c>
      <c r="F217" s="48" t="s">
        <v>2337</v>
      </c>
      <c r="G217" s="49" t="s">
        <v>1956</v>
      </c>
      <c r="H217" s="49" t="s">
        <v>379</v>
      </c>
      <c r="I217" s="50">
        <v>107597549</v>
      </c>
      <c r="J217" s="48" t="s">
        <v>2337</v>
      </c>
      <c r="K217" s="188"/>
    </row>
    <row r="218" spans="1:11" ht="15.75" thickBot="1" x14ac:dyDescent="0.3">
      <c r="A218" s="469"/>
      <c r="B218" s="191" t="s">
        <v>153</v>
      </c>
      <c r="C218" s="192" t="s">
        <v>1954</v>
      </c>
      <c r="D218" s="192">
        <v>20</v>
      </c>
      <c r="E218" s="255">
        <v>34551541</v>
      </c>
      <c r="F218" s="193" t="s">
        <v>2338</v>
      </c>
      <c r="G218" s="192" t="s">
        <v>1956</v>
      </c>
      <c r="H218" s="192">
        <v>20</v>
      </c>
      <c r="I218" s="255">
        <f>E218+19</f>
        <v>34551560</v>
      </c>
      <c r="J218" s="193" t="s">
        <v>2338</v>
      </c>
      <c r="K218" s="321"/>
    </row>
    <row r="219" spans="1:11" s="229" customFormat="1" x14ac:dyDescent="0.25">
      <c r="A219" s="474" t="s">
        <v>4149</v>
      </c>
      <c r="B219" s="194" t="s">
        <v>22</v>
      </c>
      <c r="C219" s="234" t="s">
        <v>1964</v>
      </c>
      <c r="D219" s="234">
        <v>2</v>
      </c>
      <c r="E219" s="267">
        <v>73238503</v>
      </c>
      <c r="F219" s="235" t="s">
        <v>3245</v>
      </c>
      <c r="G219" s="55" t="s">
        <v>1956</v>
      </c>
      <c r="H219" s="234">
        <v>2</v>
      </c>
      <c r="I219" s="267">
        <v>73240356</v>
      </c>
      <c r="J219" s="235" t="s">
        <v>3245</v>
      </c>
      <c r="K219" s="322"/>
    </row>
    <row r="220" spans="1:11" s="229" customFormat="1" x14ac:dyDescent="0.25">
      <c r="A220" s="468"/>
      <c r="B220" s="194" t="s">
        <v>22</v>
      </c>
      <c r="C220" s="195" t="s">
        <v>1960</v>
      </c>
      <c r="D220" s="195">
        <v>7</v>
      </c>
      <c r="E220" s="256">
        <v>51481259</v>
      </c>
      <c r="F220" s="196" t="s">
        <v>2339</v>
      </c>
      <c r="G220" s="55" t="s">
        <v>1956</v>
      </c>
      <c r="H220" s="195">
        <v>7</v>
      </c>
      <c r="I220" s="256">
        <v>55671859</v>
      </c>
      <c r="J220" s="196" t="s">
        <v>2340</v>
      </c>
      <c r="K220" s="58"/>
    </row>
    <row r="221" spans="1:11" s="229" customFormat="1" x14ac:dyDescent="0.25">
      <c r="A221" s="468"/>
      <c r="B221" s="236" t="s">
        <v>504</v>
      </c>
      <c r="C221" s="237" t="s">
        <v>1954</v>
      </c>
      <c r="D221" s="237">
        <v>2</v>
      </c>
      <c r="E221" s="268">
        <v>11797199</v>
      </c>
      <c r="F221" s="236" t="s">
        <v>3246</v>
      </c>
      <c r="G221" s="70" t="s">
        <v>1956</v>
      </c>
      <c r="H221" s="237">
        <v>2</v>
      </c>
      <c r="I221" s="268">
        <v>17358107</v>
      </c>
      <c r="J221" s="236" t="s">
        <v>2341</v>
      </c>
      <c r="K221" s="323"/>
    </row>
    <row r="222" spans="1:11" s="229" customFormat="1" x14ac:dyDescent="0.25">
      <c r="A222" s="468"/>
      <c r="B222" s="236" t="s">
        <v>504</v>
      </c>
      <c r="C222" s="237" t="s">
        <v>1964</v>
      </c>
      <c r="D222" s="237">
        <v>2</v>
      </c>
      <c r="E222" s="268">
        <v>11797306</v>
      </c>
      <c r="F222" s="236" t="s">
        <v>3246</v>
      </c>
      <c r="G222" s="70" t="s">
        <v>1956</v>
      </c>
      <c r="H222" s="237">
        <v>2</v>
      </c>
      <c r="I222" s="268">
        <v>16046362</v>
      </c>
      <c r="J222" s="236" t="s">
        <v>3247</v>
      </c>
      <c r="K222" s="323"/>
    </row>
    <row r="223" spans="1:11" s="229" customFormat="1" x14ac:dyDescent="0.25">
      <c r="A223" s="468"/>
      <c r="B223" s="236" t="s">
        <v>504</v>
      </c>
      <c r="C223" s="237" t="s">
        <v>1960</v>
      </c>
      <c r="D223" s="237">
        <v>2</v>
      </c>
      <c r="E223" s="268">
        <v>11797476</v>
      </c>
      <c r="F223" s="236" t="s">
        <v>3246</v>
      </c>
      <c r="G223" s="70" t="s">
        <v>1956</v>
      </c>
      <c r="H223" s="237">
        <v>2</v>
      </c>
      <c r="I223" s="268">
        <v>17357871</v>
      </c>
      <c r="J223" s="236" t="s">
        <v>2341</v>
      </c>
      <c r="K223" s="323"/>
    </row>
    <row r="224" spans="1:11" s="229" customFormat="1" x14ac:dyDescent="0.25">
      <c r="A224" s="468"/>
      <c r="B224" s="236" t="s">
        <v>504</v>
      </c>
      <c r="C224" s="237" t="s">
        <v>1960</v>
      </c>
      <c r="D224" s="237">
        <v>2</v>
      </c>
      <c r="E224" s="268">
        <v>11797622</v>
      </c>
      <c r="F224" s="236" t="s">
        <v>3246</v>
      </c>
      <c r="G224" s="70" t="s">
        <v>1956</v>
      </c>
      <c r="H224" s="237">
        <v>2</v>
      </c>
      <c r="I224" s="268">
        <v>73237962</v>
      </c>
      <c r="J224" s="236" t="s">
        <v>3248</v>
      </c>
      <c r="K224" s="323" t="s">
        <v>3249</v>
      </c>
    </row>
    <row r="225" spans="1:11" s="229" customFormat="1" x14ac:dyDescent="0.25">
      <c r="A225" s="468"/>
      <c r="B225" s="236" t="s">
        <v>504</v>
      </c>
      <c r="C225" s="237" t="s">
        <v>1960</v>
      </c>
      <c r="D225" s="237">
        <v>2</v>
      </c>
      <c r="E225" s="268">
        <v>11797645</v>
      </c>
      <c r="F225" s="236" t="s">
        <v>3246</v>
      </c>
      <c r="G225" s="70" t="s">
        <v>1956</v>
      </c>
      <c r="H225" s="237">
        <v>2</v>
      </c>
      <c r="I225" s="268">
        <v>75079488</v>
      </c>
      <c r="J225" s="236" t="s">
        <v>3250</v>
      </c>
      <c r="K225" s="323" t="s">
        <v>3251</v>
      </c>
    </row>
    <row r="226" spans="1:11" s="229" customFormat="1" x14ac:dyDescent="0.25">
      <c r="A226" s="468"/>
      <c r="B226" s="236" t="s">
        <v>504</v>
      </c>
      <c r="C226" s="237" t="s">
        <v>1960</v>
      </c>
      <c r="D226" s="237">
        <v>2</v>
      </c>
      <c r="E226" s="268">
        <v>11797646</v>
      </c>
      <c r="F226" s="236" t="s">
        <v>3246</v>
      </c>
      <c r="G226" s="70" t="s">
        <v>1956</v>
      </c>
      <c r="H226" s="237">
        <v>2</v>
      </c>
      <c r="I226" s="268">
        <v>29208838</v>
      </c>
      <c r="J226" s="236" t="s">
        <v>3252</v>
      </c>
      <c r="K226" s="323" t="s">
        <v>3253</v>
      </c>
    </row>
    <row r="227" spans="1:11" s="229" customFormat="1" x14ac:dyDescent="0.25">
      <c r="A227" s="468"/>
      <c r="B227" s="236" t="s">
        <v>504</v>
      </c>
      <c r="C227" s="237" t="s">
        <v>1964</v>
      </c>
      <c r="D227" s="237">
        <v>2</v>
      </c>
      <c r="E227" s="268">
        <v>16046322</v>
      </c>
      <c r="F227" s="236" t="s">
        <v>3247</v>
      </c>
      <c r="G227" s="70" t="s">
        <v>1956</v>
      </c>
      <c r="H227" s="237">
        <v>2</v>
      </c>
      <c r="I227" s="268">
        <v>17357693</v>
      </c>
      <c r="J227" s="236" t="s">
        <v>2341</v>
      </c>
      <c r="K227" s="72" t="s">
        <v>2342</v>
      </c>
    </row>
    <row r="228" spans="1:11" s="229" customFormat="1" x14ac:dyDescent="0.25">
      <c r="A228" s="468"/>
      <c r="B228" s="236" t="s">
        <v>504</v>
      </c>
      <c r="C228" s="237" t="s">
        <v>1960</v>
      </c>
      <c r="D228" s="237">
        <v>2</v>
      </c>
      <c r="E228" s="268">
        <v>17353567</v>
      </c>
      <c r="F228" s="236" t="s">
        <v>2341</v>
      </c>
      <c r="G228" s="70" t="s">
        <v>1956</v>
      </c>
      <c r="H228" s="237">
        <v>2</v>
      </c>
      <c r="I228" s="268">
        <v>73236652</v>
      </c>
      <c r="J228" s="236" t="s">
        <v>3248</v>
      </c>
      <c r="K228" s="323"/>
    </row>
    <row r="229" spans="1:11" s="229" customFormat="1" x14ac:dyDescent="0.25">
      <c r="A229" s="468"/>
      <c r="B229" s="236" t="s">
        <v>504</v>
      </c>
      <c r="C229" s="237" t="s">
        <v>1960</v>
      </c>
      <c r="D229" s="237">
        <v>2</v>
      </c>
      <c r="E229" s="268">
        <v>17353716</v>
      </c>
      <c r="F229" s="236" t="s">
        <v>2341</v>
      </c>
      <c r="G229" s="70" t="s">
        <v>1956</v>
      </c>
      <c r="H229" s="237">
        <v>2</v>
      </c>
      <c r="I229" s="268">
        <v>30988494</v>
      </c>
      <c r="J229" s="236" t="s">
        <v>3254</v>
      </c>
      <c r="K229" s="323" t="s">
        <v>3255</v>
      </c>
    </row>
    <row r="230" spans="1:11" s="229" customFormat="1" x14ac:dyDescent="0.25">
      <c r="A230" s="468"/>
      <c r="B230" s="236" t="s">
        <v>504</v>
      </c>
      <c r="C230" s="237" t="s">
        <v>1954</v>
      </c>
      <c r="D230" s="237">
        <v>2</v>
      </c>
      <c r="E230" s="268">
        <v>17357659</v>
      </c>
      <c r="F230" s="236" t="s">
        <v>2341</v>
      </c>
      <c r="G230" s="70" t="s">
        <v>1956</v>
      </c>
      <c r="H230" s="237">
        <v>2</v>
      </c>
      <c r="I230" s="268">
        <v>29209334</v>
      </c>
      <c r="J230" s="236" t="s">
        <v>3252</v>
      </c>
      <c r="K230" s="323"/>
    </row>
    <row r="231" spans="1:11" s="229" customFormat="1" x14ac:dyDescent="0.25">
      <c r="A231" s="468"/>
      <c r="B231" s="236" t="s">
        <v>504</v>
      </c>
      <c r="C231" s="237" t="s">
        <v>1954</v>
      </c>
      <c r="D231" s="237">
        <v>2</v>
      </c>
      <c r="E231" s="268">
        <v>17357681</v>
      </c>
      <c r="F231" s="236" t="s">
        <v>2341</v>
      </c>
      <c r="G231" s="70" t="s">
        <v>1956</v>
      </c>
      <c r="H231" s="237">
        <v>2</v>
      </c>
      <c r="I231" s="268">
        <v>73238438</v>
      </c>
      <c r="J231" s="236" t="s">
        <v>3248</v>
      </c>
      <c r="K231" s="323"/>
    </row>
    <row r="232" spans="1:11" s="229" customFormat="1" x14ac:dyDescent="0.25">
      <c r="A232" s="468"/>
      <c r="B232" s="236" t="s">
        <v>504</v>
      </c>
      <c r="C232" s="237" t="s">
        <v>1960</v>
      </c>
      <c r="D232" s="237">
        <v>2</v>
      </c>
      <c r="E232" s="268">
        <v>17357953</v>
      </c>
      <c r="F232" s="236" t="s">
        <v>2341</v>
      </c>
      <c r="G232" s="70" t="s">
        <v>1956</v>
      </c>
      <c r="H232" s="237">
        <v>2</v>
      </c>
      <c r="I232" s="268">
        <v>73238093</v>
      </c>
      <c r="J232" s="236" t="s">
        <v>3248</v>
      </c>
      <c r="K232" s="323"/>
    </row>
    <row r="233" spans="1:11" s="229" customFormat="1" x14ac:dyDescent="0.25">
      <c r="A233" s="468"/>
      <c r="B233" s="236" t="s">
        <v>504</v>
      </c>
      <c r="C233" s="237" t="s">
        <v>1964</v>
      </c>
      <c r="D233" s="237">
        <v>2</v>
      </c>
      <c r="E233" s="268">
        <v>17358140</v>
      </c>
      <c r="F233" s="236" t="s">
        <v>2341</v>
      </c>
      <c r="G233" s="70" t="s">
        <v>1956</v>
      </c>
      <c r="H233" s="237">
        <v>2</v>
      </c>
      <c r="I233" s="268">
        <v>73240462</v>
      </c>
      <c r="J233" s="236" t="s">
        <v>3248</v>
      </c>
      <c r="K233" s="323"/>
    </row>
    <row r="234" spans="1:11" s="229" customFormat="1" x14ac:dyDescent="0.25">
      <c r="A234" s="468"/>
      <c r="B234" s="236" t="s">
        <v>504</v>
      </c>
      <c r="C234" s="237" t="s">
        <v>1960</v>
      </c>
      <c r="D234" s="237">
        <v>2</v>
      </c>
      <c r="E234" s="268">
        <v>17358159</v>
      </c>
      <c r="F234" s="236" t="s">
        <v>2341</v>
      </c>
      <c r="G234" s="70" t="s">
        <v>1956</v>
      </c>
      <c r="H234" s="237">
        <v>2</v>
      </c>
      <c r="I234" s="268">
        <v>29208823</v>
      </c>
      <c r="J234" s="236" t="s">
        <v>3252</v>
      </c>
      <c r="K234" s="323"/>
    </row>
    <row r="235" spans="1:11" s="229" customFormat="1" x14ac:dyDescent="0.25">
      <c r="A235" s="468"/>
      <c r="B235" s="236" t="s">
        <v>504</v>
      </c>
      <c r="C235" s="237" t="s">
        <v>1960</v>
      </c>
      <c r="D235" s="237">
        <v>2</v>
      </c>
      <c r="E235" s="268">
        <v>17358162</v>
      </c>
      <c r="F235" s="236" t="s">
        <v>2341</v>
      </c>
      <c r="G235" s="70" t="s">
        <v>1956</v>
      </c>
      <c r="H235" s="237">
        <v>2</v>
      </c>
      <c r="I235" s="268">
        <v>75079486</v>
      </c>
      <c r="J235" s="236" t="s">
        <v>3250</v>
      </c>
      <c r="K235" s="323"/>
    </row>
    <row r="236" spans="1:11" s="229" customFormat="1" x14ac:dyDescent="0.25">
      <c r="A236" s="468"/>
      <c r="B236" s="238" t="s">
        <v>504</v>
      </c>
      <c r="C236" s="239" t="s">
        <v>1954</v>
      </c>
      <c r="D236" s="239">
        <v>2</v>
      </c>
      <c r="E236" s="269">
        <v>29208770</v>
      </c>
      <c r="F236" s="236" t="s">
        <v>3252</v>
      </c>
      <c r="G236" s="70" t="s">
        <v>1956</v>
      </c>
      <c r="H236" s="239">
        <v>2</v>
      </c>
      <c r="I236" s="269">
        <v>29209396</v>
      </c>
      <c r="J236" s="236" t="s">
        <v>3252</v>
      </c>
      <c r="K236" s="324"/>
    </row>
    <row r="237" spans="1:11" s="229" customFormat="1" x14ac:dyDescent="0.25">
      <c r="A237" s="468"/>
      <c r="B237" s="236" t="s">
        <v>504</v>
      </c>
      <c r="C237" s="237" t="s">
        <v>1954</v>
      </c>
      <c r="D237" s="237">
        <v>2</v>
      </c>
      <c r="E237" s="268">
        <v>29208843</v>
      </c>
      <c r="F237" s="236" t="s">
        <v>3252</v>
      </c>
      <c r="G237" s="70" t="s">
        <v>1956</v>
      </c>
      <c r="H237" s="237">
        <v>2</v>
      </c>
      <c r="I237" s="268">
        <v>73238432</v>
      </c>
      <c r="J237" s="236" t="s">
        <v>3248</v>
      </c>
      <c r="K237" s="323"/>
    </row>
    <row r="238" spans="1:11" s="229" customFormat="1" x14ac:dyDescent="0.25">
      <c r="A238" s="468"/>
      <c r="B238" s="236" t="s">
        <v>504</v>
      </c>
      <c r="C238" s="237" t="s">
        <v>1954</v>
      </c>
      <c r="D238" s="237">
        <v>2</v>
      </c>
      <c r="E238" s="268">
        <v>29208939</v>
      </c>
      <c r="F238" s="236" t="s">
        <v>3252</v>
      </c>
      <c r="G238" s="70" t="s">
        <v>1956</v>
      </c>
      <c r="H238" s="237">
        <v>2</v>
      </c>
      <c r="I238" s="268">
        <v>75079769</v>
      </c>
      <c r="J238" s="236" t="s">
        <v>3250</v>
      </c>
      <c r="K238" s="323"/>
    </row>
    <row r="239" spans="1:11" s="229" customFormat="1" x14ac:dyDescent="0.25">
      <c r="A239" s="468"/>
      <c r="B239" s="236" t="s">
        <v>504</v>
      </c>
      <c r="C239" s="237" t="s">
        <v>1960</v>
      </c>
      <c r="D239" s="237">
        <v>2</v>
      </c>
      <c r="E239" s="268">
        <v>29209228</v>
      </c>
      <c r="F239" s="236" t="s">
        <v>3252</v>
      </c>
      <c r="G239" s="70" t="s">
        <v>1956</v>
      </c>
      <c r="H239" s="237">
        <v>2</v>
      </c>
      <c r="I239" s="268">
        <v>75079675</v>
      </c>
      <c r="J239" s="236" t="s">
        <v>3250</v>
      </c>
      <c r="K239" s="323"/>
    </row>
    <row r="240" spans="1:11" s="229" customFormat="1" x14ac:dyDescent="0.25">
      <c r="A240" s="468"/>
      <c r="B240" s="236" t="s">
        <v>504</v>
      </c>
      <c r="C240" s="237" t="s">
        <v>1960</v>
      </c>
      <c r="D240" s="237">
        <v>2</v>
      </c>
      <c r="E240" s="268">
        <v>29209332</v>
      </c>
      <c r="F240" s="236" t="s">
        <v>3252</v>
      </c>
      <c r="G240" s="70" t="s">
        <v>1956</v>
      </c>
      <c r="H240" s="237">
        <v>2</v>
      </c>
      <c r="I240" s="268">
        <v>50312574</v>
      </c>
      <c r="J240" s="236" t="s">
        <v>3256</v>
      </c>
      <c r="K240" s="323" t="s">
        <v>3257</v>
      </c>
    </row>
    <row r="241" spans="1:11" s="229" customFormat="1" x14ac:dyDescent="0.25">
      <c r="A241" s="468"/>
      <c r="B241" s="236" t="s">
        <v>504</v>
      </c>
      <c r="C241" s="237" t="s">
        <v>1960</v>
      </c>
      <c r="D241" s="237">
        <v>2</v>
      </c>
      <c r="E241" s="268">
        <v>29209343</v>
      </c>
      <c r="F241" s="236" t="s">
        <v>3252</v>
      </c>
      <c r="G241" s="70" t="s">
        <v>1956</v>
      </c>
      <c r="H241" s="237">
        <v>2</v>
      </c>
      <c r="I241" s="268">
        <v>73238032</v>
      </c>
      <c r="J241" s="236" t="s">
        <v>3248</v>
      </c>
      <c r="K241" s="323"/>
    </row>
    <row r="242" spans="1:11" s="229" customFormat="1" x14ac:dyDescent="0.25">
      <c r="A242" s="468"/>
      <c r="B242" s="236" t="s">
        <v>504</v>
      </c>
      <c r="C242" s="237" t="s">
        <v>1960</v>
      </c>
      <c r="D242" s="237">
        <v>2</v>
      </c>
      <c r="E242" s="268">
        <v>30988748</v>
      </c>
      <c r="F242" s="236" t="s">
        <v>3254</v>
      </c>
      <c r="G242" s="70" t="s">
        <v>1956</v>
      </c>
      <c r="H242" s="237">
        <v>2</v>
      </c>
      <c r="I242" s="268">
        <v>73236607</v>
      </c>
      <c r="J242" s="236" t="s">
        <v>3248</v>
      </c>
      <c r="K242" s="323"/>
    </row>
    <row r="243" spans="1:11" s="229" customFormat="1" x14ac:dyDescent="0.25">
      <c r="A243" s="468"/>
      <c r="B243" s="236" t="s">
        <v>504</v>
      </c>
      <c r="C243" s="237" t="s">
        <v>1954</v>
      </c>
      <c r="D243" s="237">
        <v>2</v>
      </c>
      <c r="E243" s="268">
        <v>50312772</v>
      </c>
      <c r="F243" s="236" t="s">
        <v>3256</v>
      </c>
      <c r="G243" s="70" t="s">
        <v>1956</v>
      </c>
      <c r="H243" s="237">
        <v>2</v>
      </c>
      <c r="I243" s="268">
        <v>73238346</v>
      </c>
      <c r="J243" s="236" t="s">
        <v>3248</v>
      </c>
      <c r="K243" s="323"/>
    </row>
    <row r="244" spans="1:11" s="229" customFormat="1" x14ac:dyDescent="0.25">
      <c r="A244" s="468"/>
      <c r="B244" s="236" t="s">
        <v>504</v>
      </c>
      <c r="C244" s="237" t="s">
        <v>1960</v>
      </c>
      <c r="D244" s="237">
        <v>2</v>
      </c>
      <c r="E244" s="268">
        <v>50312868</v>
      </c>
      <c r="F244" s="236" t="s">
        <v>3256</v>
      </c>
      <c r="G244" s="70" t="s">
        <v>1956</v>
      </c>
      <c r="H244" s="237">
        <v>2</v>
      </c>
      <c r="I244" s="268">
        <v>73238093</v>
      </c>
      <c r="J244" s="236" t="s">
        <v>3248</v>
      </c>
      <c r="K244" s="323"/>
    </row>
    <row r="245" spans="1:11" s="229" customFormat="1" x14ac:dyDescent="0.25">
      <c r="A245" s="468"/>
      <c r="B245" s="236" t="s">
        <v>504</v>
      </c>
      <c r="C245" s="237" t="s">
        <v>1954</v>
      </c>
      <c r="D245" s="237">
        <v>2</v>
      </c>
      <c r="E245" s="268">
        <v>73237966</v>
      </c>
      <c r="F245" s="236" t="s">
        <v>3248</v>
      </c>
      <c r="G245" s="70" t="s">
        <v>1956</v>
      </c>
      <c r="H245" s="237">
        <v>2</v>
      </c>
      <c r="I245" s="268">
        <v>75079975</v>
      </c>
      <c r="J245" s="236" t="s">
        <v>3250</v>
      </c>
      <c r="K245" s="323"/>
    </row>
    <row r="246" spans="1:11" s="229" customFormat="1" x14ac:dyDescent="0.25">
      <c r="A246" s="468"/>
      <c r="B246" s="236" t="s">
        <v>504</v>
      </c>
      <c r="C246" s="237" t="s">
        <v>1960</v>
      </c>
      <c r="D246" s="237">
        <v>2</v>
      </c>
      <c r="E246" s="268">
        <v>73238222</v>
      </c>
      <c r="F246" s="236" t="s">
        <v>3248</v>
      </c>
      <c r="G246" s="70" t="s">
        <v>1956</v>
      </c>
      <c r="H246" s="237">
        <v>2</v>
      </c>
      <c r="I246" s="268">
        <v>75079675</v>
      </c>
      <c r="J246" s="236" t="s">
        <v>3250</v>
      </c>
      <c r="K246" s="323"/>
    </row>
    <row r="247" spans="1:11" s="229" customFormat="1" x14ac:dyDescent="0.25">
      <c r="A247" s="468"/>
      <c r="B247" s="197" t="s">
        <v>504</v>
      </c>
      <c r="C247" s="198" t="s">
        <v>1975</v>
      </c>
      <c r="D247" s="198">
        <v>11</v>
      </c>
      <c r="E247" s="257">
        <v>72158341</v>
      </c>
      <c r="F247" s="199" t="s">
        <v>2343</v>
      </c>
      <c r="G247" s="70" t="s">
        <v>1956</v>
      </c>
      <c r="H247" s="198">
        <v>17</v>
      </c>
      <c r="I247" s="257">
        <v>38979729</v>
      </c>
      <c r="J247" s="199" t="s">
        <v>2344</v>
      </c>
      <c r="K247" s="72" t="s">
        <v>2345</v>
      </c>
    </row>
    <row r="248" spans="1:11" s="229" customFormat="1" x14ac:dyDescent="0.25">
      <c r="A248" s="468"/>
      <c r="B248" s="197" t="s">
        <v>504</v>
      </c>
      <c r="C248" s="198" t="s">
        <v>1960</v>
      </c>
      <c r="D248" s="198">
        <v>14</v>
      </c>
      <c r="E248" s="257">
        <v>100133216</v>
      </c>
      <c r="F248" s="199" t="s">
        <v>2346</v>
      </c>
      <c r="G248" s="70" t="s">
        <v>1956</v>
      </c>
      <c r="H248" s="198">
        <v>14</v>
      </c>
      <c r="I248" s="257">
        <v>100133994</v>
      </c>
      <c r="J248" s="199" t="s">
        <v>2346</v>
      </c>
      <c r="K248" s="72"/>
    </row>
    <row r="249" spans="1:11" s="229" customFormat="1" x14ac:dyDescent="0.25">
      <c r="A249" s="468"/>
      <c r="B249" s="197" t="s">
        <v>504</v>
      </c>
      <c r="C249" s="198" t="s">
        <v>1964</v>
      </c>
      <c r="D249" s="198">
        <v>19</v>
      </c>
      <c r="E249" s="257">
        <v>14483095</v>
      </c>
      <c r="F249" s="199" t="s">
        <v>2347</v>
      </c>
      <c r="G249" s="70" t="s">
        <v>1956</v>
      </c>
      <c r="H249" s="198">
        <v>19</v>
      </c>
      <c r="I249" s="257">
        <v>14894826</v>
      </c>
      <c r="J249" s="199" t="s">
        <v>2348</v>
      </c>
      <c r="K249" s="72"/>
    </row>
    <row r="250" spans="1:11" s="229" customFormat="1" x14ac:dyDescent="0.25">
      <c r="A250" s="468"/>
      <c r="B250" s="200" t="s">
        <v>153</v>
      </c>
      <c r="C250" s="240" t="s">
        <v>1964</v>
      </c>
      <c r="D250" s="240">
        <v>2</v>
      </c>
      <c r="E250" s="270">
        <v>16330303</v>
      </c>
      <c r="F250" s="241" t="s">
        <v>3258</v>
      </c>
      <c r="G250" s="77" t="s">
        <v>1956</v>
      </c>
      <c r="H250" s="240">
        <v>2</v>
      </c>
      <c r="I250" s="270">
        <v>16670765</v>
      </c>
      <c r="J250" s="241" t="s">
        <v>3258</v>
      </c>
      <c r="K250" s="325"/>
    </row>
    <row r="251" spans="1:11" s="229" customFormat="1" x14ac:dyDescent="0.25">
      <c r="A251" s="468"/>
      <c r="B251" s="200" t="s">
        <v>153</v>
      </c>
      <c r="C251" s="240" t="s">
        <v>1960</v>
      </c>
      <c r="D251" s="240">
        <v>2</v>
      </c>
      <c r="E251" s="270">
        <v>16393450</v>
      </c>
      <c r="F251" s="241" t="s">
        <v>3258</v>
      </c>
      <c r="G251" s="77" t="s">
        <v>1956</v>
      </c>
      <c r="H251" s="240">
        <v>2</v>
      </c>
      <c r="I251" s="270">
        <v>17099251</v>
      </c>
      <c r="J251" s="241" t="s">
        <v>2341</v>
      </c>
      <c r="K251" s="325"/>
    </row>
    <row r="252" spans="1:11" s="229" customFormat="1" x14ac:dyDescent="0.25">
      <c r="A252" s="468"/>
      <c r="B252" s="200" t="s">
        <v>153</v>
      </c>
      <c r="C252" s="240" t="s">
        <v>1964</v>
      </c>
      <c r="D252" s="240">
        <v>2</v>
      </c>
      <c r="E252" s="270">
        <v>16498928</v>
      </c>
      <c r="F252" s="241" t="s">
        <v>3258</v>
      </c>
      <c r="G252" s="77" t="s">
        <v>1956</v>
      </c>
      <c r="H252" s="240">
        <v>2</v>
      </c>
      <c r="I252" s="270">
        <v>16888979</v>
      </c>
      <c r="J252" s="241" t="s">
        <v>2341</v>
      </c>
      <c r="K252" s="325"/>
    </row>
    <row r="253" spans="1:11" s="229" customFormat="1" x14ac:dyDescent="0.25">
      <c r="A253" s="468"/>
      <c r="B253" s="200" t="s">
        <v>153</v>
      </c>
      <c r="C253" s="240" t="s">
        <v>1964</v>
      </c>
      <c r="D253" s="240">
        <v>2</v>
      </c>
      <c r="E253" s="270">
        <v>16512075</v>
      </c>
      <c r="F253" s="241" t="s">
        <v>3258</v>
      </c>
      <c r="G253" s="77" t="s">
        <v>1956</v>
      </c>
      <c r="H253" s="240">
        <v>2</v>
      </c>
      <c r="I253" s="270">
        <v>17212104</v>
      </c>
      <c r="J253" s="241" t="s">
        <v>2341</v>
      </c>
      <c r="K253" s="325"/>
    </row>
    <row r="254" spans="1:11" s="229" customFormat="1" x14ac:dyDescent="0.25">
      <c r="A254" s="468"/>
      <c r="B254" s="200" t="s">
        <v>153</v>
      </c>
      <c r="C254" s="240" t="s">
        <v>1964</v>
      </c>
      <c r="D254" s="240">
        <v>2</v>
      </c>
      <c r="E254" s="270">
        <v>16516877</v>
      </c>
      <c r="F254" s="241" t="s">
        <v>3258</v>
      </c>
      <c r="G254" s="77" t="s">
        <v>1956</v>
      </c>
      <c r="H254" s="240">
        <v>2</v>
      </c>
      <c r="I254" s="270">
        <v>17250618</v>
      </c>
      <c r="J254" s="241" t="s">
        <v>2341</v>
      </c>
      <c r="K254" s="325"/>
    </row>
    <row r="255" spans="1:11" s="229" customFormat="1" x14ac:dyDescent="0.25">
      <c r="A255" s="468"/>
      <c r="B255" s="200" t="s">
        <v>153</v>
      </c>
      <c r="C255" s="240" t="s">
        <v>1964</v>
      </c>
      <c r="D255" s="240">
        <v>2</v>
      </c>
      <c r="E255" s="270">
        <v>16635825</v>
      </c>
      <c r="F255" s="241" t="s">
        <v>3258</v>
      </c>
      <c r="G255" s="77" t="s">
        <v>1956</v>
      </c>
      <c r="H255" s="240">
        <v>2</v>
      </c>
      <c r="I255" s="270">
        <v>17342777</v>
      </c>
      <c r="J255" s="241" t="s">
        <v>2341</v>
      </c>
      <c r="K255" s="325"/>
    </row>
    <row r="256" spans="1:11" s="229" customFormat="1" x14ac:dyDescent="0.25">
      <c r="A256" s="468"/>
      <c r="B256" s="200" t="s">
        <v>153</v>
      </c>
      <c r="C256" s="240" t="s">
        <v>1964</v>
      </c>
      <c r="D256" s="240">
        <v>2</v>
      </c>
      <c r="E256" s="270">
        <v>16757488</v>
      </c>
      <c r="F256" s="241" t="s">
        <v>3259</v>
      </c>
      <c r="G256" s="77" t="s">
        <v>1956</v>
      </c>
      <c r="H256" s="240">
        <v>2</v>
      </c>
      <c r="I256" s="270">
        <v>16889663</v>
      </c>
      <c r="J256" s="241" t="s">
        <v>2341</v>
      </c>
      <c r="K256" s="325"/>
    </row>
    <row r="257" spans="1:11" s="229" customFormat="1" x14ac:dyDescent="0.25">
      <c r="A257" s="468"/>
      <c r="B257" s="200" t="s">
        <v>153</v>
      </c>
      <c r="C257" s="240" t="s">
        <v>1960</v>
      </c>
      <c r="D257" s="240">
        <v>2</v>
      </c>
      <c r="E257" s="270">
        <v>17145840</v>
      </c>
      <c r="F257" s="241" t="s">
        <v>2341</v>
      </c>
      <c r="G257" s="77" t="s">
        <v>1956</v>
      </c>
      <c r="H257" s="240">
        <v>2</v>
      </c>
      <c r="I257" s="270">
        <v>17326386</v>
      </c>
      <c r="J257" s="241" t="s">
        <v>2341</v>
      </c>
      <c r="K257" s="325"/>
    </row>
    <row r="258" spans="1:11" s="229" customFormat="1" x14ac:dyDescent="0.25">
      <c r="A258" s="468"/>
      <c r="B258" s="200" t="s">
        <v>153</v>
      </c>
      <c r="C258" s="240" t="s">
        <v>1954</v>
      </c>
      <c r="D258" s="240">
        <v>2</v>
      </c>
      <c r="E258" s="270">
        <v>17357867</v>
      </c>
      <c r="F258" s="241" t="s">
        <v>2341</v>
      </c>
      <c r="G258" s="77" t="s">
        <v>1956</v>
      </c>
      <c r="H258" s="240">
        <v>2</v>
      </c>
      <c r="I258" s="270">
        <v>50312866</v>
      </c>
      <c r="J258" s="241" t="s">
        <v>3256</v>
      </c>
      <c r="K258" s="325"/>
    </row>
    <row r="259" spans="1:11" s="229" customFormat="1" x14ac:dyDescent="0.25">
      <c r="A259" s="468"/>
      <c r="B259" s="200" t="s">
        <v>153</v>
      </c>
      <c r="C259" s="240" t="s">
        <v>1964</v>
      </c>
      <c r="D259" s="240">
        <v>2</v>
      </c>
      <c r="E259" s="270">
        <v>29209243</v>
      </c>
      <c r="F259" s="241" t="s">
        <v>3252</v>
      </c>
      <c r="G259" s="77" t="s">
        <v>1956</v>
      </c>
      <c r="H259" s="240">
        <v>2</v>
      </c>
      <c r="I259" s="270">
        <v>68950271</v>
      </c>
      <c r="J259" s="241" t="s">
        <v>3260</v>
      </c>
      <c r="K259" s="325"/>
    </row>
    <row r="260" spans="1:11" s="229" customFormat="1" x14ac:dyDescent="0.25">
      <c r="A260" s="468"/>
      <c r="B260" s="200" t="s">
        <v>153</v>
      </c>
      <c r="C260" s="201" t="s">
        <v>1960</v>
      </c>
      <c r="D260" s="201">
        <v>4</v>
      </c>
      <c r="E260" s="258">
        <v>90676677</v>
      </c>
      <c r="F260" s="202" t="s">
        <v>2349</v>
      </c>
      <c r="G260" s="77" t="s">
        <v>1956</v>
      </c>
      <c r="H260" s="201">
        <v>4</v>
      </c>
      <c r="I260" s="258">
        <v>90679656</v>
      </c>
      <c r="J260" s="202" t="s">
        <v>2349</v>
      </c>
      <c r="K260" s="80"/>
    </row>
    <row r="261" spans="1:11" s="229" customFormat="1" x14ac:dyDescent="0.25">
      <c r="A261" s="468"/>
      <c r="B261" s="200" t="s">
        <v>153</v>
      </c>
      <c r="C261" s="201" t="s">
        <v>1960</v>
      </c>
      <c r="D261" s="201">
        <v>8</v>
      </c>
      <c r="E261" s="258">
        <v>27245917</v>
      </c>
      <c r="F261" s="202" t="s">
        <v>2350</v>
      </c>
      <c r="G261" s="77" t="s">
        <v>1956</v>
      </c>
      <c r="H261" s="201">
        <v>8</v>
      </c>
      <c r="I261" s="258">
        <v>27245991</v>
      </c>
      <c r="J261" s="202" t="s">
        <v>2350</v>
      </c>
      <c r="K261" s="80"/>
    </row>
    <row r="262" spans="1:11" s="229" customFormat="1" x14ac:dyDescent="0.25">
      <c r="A262" s="468"/>
      <c r="B262" s="200" t="s">
        <v>153</v>
      </c>
      <c r="C262" s="201" t="s">
        <v>1960</v>
      </c>
      <c r="D262" s="201">
        <v>8</v>
      </c>
      <c r="E262" s="258">
        <v>96428864</v>
      </c>
      <c r="F262" s="202" t="s">
        <v>2351</v>
      </c>
      <c r="G262" s="77" t="s">
        <v>1956</v>
      </c>
      <c r="H262" s="201">
        <v>8</v>
      </c>
      <c r="I262" s="258">
        <v>96428925</v>
      </c>
      <c r="J262" s="202" t="s">
        <v>2351</v>
      </c>
      <c r="K262" s="80"/>
    </row>
    <row r="263" spans="1:11" s="229" customFormat="1" x14ac:dyDescent="0.25">
      <c r="A263" s="468"/>
      <c r="B263" s="200" t="s">
        <v>153</v>
      </c>
      <c r="C263" s="201" t="s">
        <v>1960</v>
      </c>
      <c r="D263" s="201">
        <v>9</v>
      </c>
      <c r="E263" s="258">
        <v>1531142</v>
      </c>
      <c r="F263" s="202" t="s">
        <v>2352</v>
      </c>
      <c r="G263" s="77" t="s">
        <v>1956</v>
      </c>
      <c r="H263" s="201">
        <v>9</v>
      </c>
      <c r="I263" s="258">
        <v>1531222</v>
      </c>
      <c r="J263" s="202" t="s">
        <v>2352</v>
      </c>
      <c r="K263" s="80"/>
    </row>
    <row r="264" spans="1:11" s="229" customFormat="1" x14ac:dyDescent="0.25">
      <c r="A264" s="468"/>
      <c r="B264" s="200" t="s">
        <v>153</v>
      </c>
      <c r="C264" s="201" t="s">
        <v>1960</v>
      </c>
      <c r="D264" s="201">
        <v>9</v>
      </c>
      <c r="E264" s="258">
        <v>106522723</v>
      </c>
      <c r="F264" s="202" t="s">
        <v>2353</v>
      </c>
      <c r="G264" s="77" t="s">
        <v>1956</v>
      </c>
      <c r="H264" s="201">
        <v>9</v>
      </c>
      <c r="I264" s="258">
        <v>106523056</v>
      </c>
      <c r="J264" s="202" t="s">
        <v>2353</v>
      </c>
      <c r="K264" s="80"/>
    </row>
    <row r="265" spans="1:11" s="229" customFormat="1" x14ac:dyDescent="0.25">
      <c r="A265" s="468"/>
      <c r="B265" s="200" t="s">
        <v>153</v>
      </c>
      <c r="C265" s="201" t="s">
        <v>1960</v>
      </c>
      <c r="D265" s="201">
        <v>10</v>
      </c>
      <c r="E265" s="258">
        <v>128239273</v>
      </c>
      <c r="F265" s="202" t="s">
        <v>2354</v>
      </c>
      <c r="G265" s="77" t="s">
        <v>1956</v>
      </c>
      <c r="H265" s="201">
        <v>10</v>
      </c>
      <c r="I265" s="258">
        <v>128240278</v>
      </c>
      <c r="J265" s="202" t="s">
        <v>2354</v>
      </c>
      <c r="K265" s="80"/>
    </row>
    <row r="266" spans="1:11" s="229" customFormat="1" x14ac:dyDescent="0.25">
      <c r="A266" s="468"/>
      <c r="B266" s="200" t="s">
        <v>153</v>
      </c>
      <c r="C266" s="201" t="s">
        <v>1975</v>
      </c>
      <c r="D266" s="201">
        <v>10</v>
      </c>
      <c r="E266" s="258">
        <v>128239282</v>
      </c>
      <c r="F266" s="202" t="s">
        <v>2355</v>
      </c>
      <c r="G266" s="77" t="s">
        <v>1956</v>
      </c>
      <c r="H266" s="201">
        <v>12</v>
      </c>
      <c r="I266" s="258">
        <v>44323545</v>
      </c>
      <c r="J266" s="202" t="s">
        <v>2356</v>
      </c>
      <c r="K266" s="80" t="s">
        <v>2357</v>
      </c>
    </row>
    <row r="267" spans="1:11" s="229" customFormat="1" x14ac:dyDescent="0.25">
      <c r="A267" s="468"/>
      <c r="B267" s="200" t="s">
        <v>153</v>
      </c>
      <c r="C267" s="201" t="s">
        <v>1960</v>
      </c>
      <c r="D267" s="201">
        <v>14</v>
      </c>
      <c r="E267" s="258">
        <v>40987209</v>
      </c>
      <c r="F267" s="202" t="s">
        <v>2358</v>
      </c>
      <c r="G267" s="77" t="s">
        <v>1956</v>
      </c>
      <c r="H267" s="201">
        <v>14</v>
      </c>
      <c r="I267" s="258">
        <v>40992508</v>
      </c>
      <c r="J267" s="202" t="s">
        <v>2358</v>
      </c>
      <c r="K267" s="80"/>
    </row>
    <row r="268" spans="1:11" s="229" customFormat="1" x14ac:dyDescent="0.25">
      <c r="A268" s="468"/>
      <c r="B268" s="200" t="s">
        <v>153</v>
      </c>
      <c r="C268" s="201" t="s">
        <v>1960</v>
      </c>
      <c r="D268" s="201">
        <v>19</v>
      </c>
      <c r="E268" s="258">
        <v>16129476</v>
      </c>
      <c r="F268" s="202" t="s">
        <v>2359</v>
      </c>
      <c r="G268" s="77" t="s">
        <v>1956</v>
      </c>
      <c r="H268" s="201">
        <v>19</v>
      </c>
      <c r="I268" s="258">
        <v>16160152</v>
      </c>
      <c r="J268" s="202" t="s">
        <v>2360</v>
      </c>
      <c r="K268" s="80" t="s">
        <v>2361</v>
      </c>
    </row>
    <row r="269" spans="1:11" s="229" customFormat="1" ht="15.75" thickBot="1" x14ac:dyDescent="0.3">
      <c r="A269" s="469"/>
      <c r="B269" s="203" t="s">
        <v>153</v>
      </c>
      <c r="C269" s="204" t="s">
        <v>1960</v>
      </c>
      <c r="D269" s="204" t="s">
        <v>2131</v>
      </c>
      <c r="E269" s="259">
        <v>127180867</v>
      </c>
      <c r="F269" s="205" t="s">
        <v>2362</v>
      </c>
      <c r="G269" s="206" t="s">
        <v>1956</v>
      </c>
      <c r="H269" s="204" t="s">
        <v>2131</v>
      </c>
      <c r="I269" s="259">
        <v>127181577</v>
      </c>
      <c r="J269" s="205" t="s">
        <v>2362</v>
      </c>
      <c r="K269" s="326"/>
    </row>
    <row r="270" spans="1:11" ht="15" customHeight="1" x14ac:dyDescent="0.25">
      <c r="A270" s="475" t="s">
        <v>4150</v>
      </c>
      <c r="B270" s="96" t="s">
        <v>22</v>
      </c>
      <c r="C270" s="91" t="s">
        <v>1954</v>
      </c>
      <c r="D270" s="91">
        <v>1</v>
      </c>
      <c r="E270" s="92">
        <v>11080103</v>
      </c>
      <c r="F270" s="90" t="s">
        <v>2363</v>
      </c>
      <c r="G270" s="91" t="s">
        <v>1956</v>
      </c>
      <c r="H270" s="91">
        <v>1</v>
      </c>
      <c r="I270" s="92">
        <v>11144251</v>
      </c>
      <c r="J270" s="96" t="s">
        <v>2364</v>
      </c>
      <c r="K270" s="207" t="s">
        <v>2365</v>
      </c>
    </row>
    <row r="271" spans="1:11" x14ac:dyDescent="0.25">
      <c r="A271" s="476"/>
      <c r="B271" s="96" t="s">
        <v>22</v>
      </c>
      <c r="C271" s="91" t="s">
        <v>1954</v>
      </c>
      <c r="D271" s="91">
        <v>1</v>
      </c>
      <c r="E271" s="92">
        <v>89987966</v>
      </c>
      <c r="F271" s="90" t="s">
        <v>2366</v>
      </c>
      <c r="G271" s="91" t="s">
        <v>1956</v>
      </c>
      <c r="H271" s="91">
        <v>1</v>
      </c>
      <c r="I271" s="92">
        <v>90254995</v>
      </c>
      <c r="J271" s="96" t="s">
        <v>2367</v>
      </c>
      <c r="K271" s="207"/>
    </row>
    <row r="272" spans="1:11" x14ac:dyDescent="0.25">
      <c r="A272" s="476"/>
      <c r="B272" s="96" t="s">
        <v>22</v>
      </c>
      <c r="C272" s="91" t="s">
        <v>1954</v>
      </c>
      <c r="D272" s="91">
        <v>1</v>
      </c>
      <c r="E272" s="92">
        <v>91896968</v>
      </c>
      <c r="F272" s="90" t="s">
        <v>2368</v>
      </c>
      <c r="G272" s="91" t="s">
        <v>1956</v>
      </c>
      <c r="H272" s="91">
        <v>1</v>
      </c>
      <c r="I272" s="92">
        <v>98201830</v>
      </c>
      <c r="J272" s="96" t="s">
        <v>2369</v>
      </c>
      <c r="K272" s="207" t="s">
        <v>2370</v>
      </c>
    </row>
    <row r="273" spans="1:11" x14ac:dyDescent="0.25">
      <c r="A273" s="476"/>
      <c r="B273" s="96" t="s">
        <v>22</v>
      </c>
      <c r="C273" s="91" t="s">
        <v>1954</v>
      </c>
      <c r="D273" s="91">
        <v>1</v>
      </c>
      <c r="E273" s="92">
        <v>167017109</v>
      </c>
      <c r="F273" s="90" t="s">
        <v>2371</v>
      </c>
      <c r="G273" s="91" t="s">
        <v>1956</v>
      </c>
      <c r="H273" s="91">
        <v>1</v>
      </c>
      <c r="I273" s="92">
        <v>174913865</v>
      </c>
      <c r="J273" s="96" t="s">
        <v>2372</v>
      </c>
      <c r="K273" s="207" t="s">
        <v>2373</v>
      </c>
    </row>
    <row r="274" spans="1:11" x14ac:dyDescent="0.25">
      <c r="A274" s="476"/>
      <c r="B274" s="96" t="s">
        <v>22</v>
      </c>
      <c r="C274" s="91" t="s">
        <v>1954</v>
      </c>
      <c r="D274" s="91">
        <v>1</v>
      </c>
      <c r="E274" s="92">
        <v>241557390</v>
      </c>
      <c r="F274" s="90" t="s">
        <v>2374</v>
      </c>
      <c r="G274" s="91" t="s">
        <v>1956</v>
      </c>
      <c r="H274" s="91">
        <v>1</v>
      </c>
      <c r="I274" s="92">
        <v>241665127</v>
      </c>
      <c r="J274" s="96" t="s">
        <v>2375</v>
      </c>
      <c r="K274" s="207" t="s">
        <v>2376</v>
      </c>
    </row>
    <row r="275" spans="1:11" x14ac:dyDescent="0.25">
      <c r="A275" s="476"/>
      <c r="B275" s="96" t="s">
        <v>22</v>
      </c>
      <c r="C275" s="91" t="s">
        <v>1964</v>
      </c>
      <c r="D275" s="91">
        <v>2</v>
      </c>
      <c r="E275" s="92">
        <v>12230480</v>
      </c>
      <c r="F275" s="90" t="s">
        <v>2377</v>
      </c>
      <c r="G275" s="91" t="s">
        <v>1956</v>
      </c>
      <c r="H275" s="91">
        <v>2</v>
      </c>
      <c r="I275" s="92">
        <v>18929287</v>
      </c>
      <c r="J275" s="96" t="s">
        <v>2378</v>
      </c>
      <c r="K275" s="207"/>
    </row>
    <row r="276" spans="1:11" x14ac:dyDescent="0.25">
      <c r="A276" s="476"/>
      <c r="B276" s="96" t="s">
        <v>22</v>
      </c>
      <c r="C276" s="91" t="s">
        <v>1964</v>
      </c>
      <c r="D276" s="91">
        <v>3</v>
      </c>
      <c r="E276" s="92">
        <v>44634803</v>
      </c>
      <c r="F276" s="90" t="s">
        <v>2379</v>
      </c>
      <c r="G276" s="91" t="s">
        <v>1956</v>
      </c>
      <c r="H276" s="91">
        <v>3</v>
      </c>
      <c r="I276" s="92">
        <v>44725627</v>
      </c>
      <c r="J276" s="96" t="s">
        <v>2380</v>
      </c>
      <c r="K276" s="207" t="s">
        <v>2381</v>
      </c>
    </row>
    <row r="277" spans="1:11" x14ac:dyDescent="0.25">
      <c r="A277" s="476"/>
      <c r="B277" s="96" t="s">
        <v>22</v>
      </c>
      <c r="C277" s="91" t="s">
        <v>1954</v>
      </c>
      <c r="D277" s="91">
        <v>3</v>
      </c>
      <c r="E277" s="92">
        <v>55180912</v>
      </c>
      <c r="F277" s="90" t="s">
        <v>2250</v>
      </c>
      <c r="G277" s="91" t="s">
        <v>1956</v>
      </c>
      <c r="H277" s="91">
        <v>3</v>
      </c>
      <c r="I277" s="92">
        <v>55478616</v>
      </c>
      <c r="J277" s="90" t="s">
        <v>2250</v>
      </c>
      <c r="K277" s="207"/>
    </row>
    <row r="278" spans="1:11" x14ac:dyDescent="0.25">
      <c r="A278" s="476"/>
      <c r="B278" s="96" t="s">
        <v>22</v>
      </c>
      <c r="C278" s="91" t="s">
        <v>1954</v>
      </c>
      <c r="D278" s="91">
        <v>3</v>
      </c>
      <c r="E278" s="92">
        <v>82459637</v>
      </c>
      <c r="F278" s="90" t="s">
        <v>2382</v>
      </c>
      <c r="G278" s="91" t="s">
        <v>1956</v>
      </c>
      <c r="H278" s="91">
        <v>3</v>
      </c>
      <c r="I278" s="92">
        <v>82842725</v>
      </c>
      <c r="J278" s="90" t="s">
        <v>2382</v>
      </c>
      <c r="K278" s="207"/>
    </row>
    <row r="279" spans="1:11" x14ac:dyDescent="0.25">
      <c r="A279" s="476"/>
      <c r="B279" s="96" t="s">
        <v>22</v>
      </c>
      <c r="C279" s="91" t="s">
        <v>1964</v>
      </c>
      <c r="D279" s="91">
        <v>3</v>
      </c>
      <c r="E279" s="92">
        <v>129073942</v>
      </c>
      <c r="F279" s="90" t="s">
        <v>2383</v>
      </c>
      <c r="G279" s="91" t="s">
        <v>1956</v>
      </c>
      <c r="H279" s="91">
        <v>3</v>
      </c>
      <c r="I279" s="92">
        <v>129277320</v>
      </c>
      <c r="J279" s="96" t="s">
        <v>2384</v>
      </c>
      <c r="K279" s="207" t="s">
        <v>2385</v>
      </c>
    </row>
    <row r="280" spans="1:11" x14ac:dyDescent="0.25">
      <c r="A280" s="476"/>
      <c r="B280" s="96" t="s">
        <v>22</v>
      </c>
      <c r="C280" s="91" t="s">
        <v>1975</v>
      </c>
      <c r="D280" s="91">
        <v>3</v>
      </c>
      <c r="E280" s="92">
        <v>129289477</v>
      </c>
      <c r="F280" s="90" t="s">
        <v>2384</v>
      </c>
      <c r="G280" s="91" t="s">
        <v>1956</v>
      </c>
      <c r="H280" s="91">
        <v>19</v>
      </c>
      <c r="I280" s="92">
        <v>59118935</v>
      </c>
      <c r="J280" s="96" t="s">
        <v>2386</v>
      </c>
      <c r="K280" s="207" t="s">
        <v>2385</v>
      </c>
    </row>
    <row r="281" spans="1:11" x14ac:dyDescent="0.25">
      <c r="A281" s="476"/>
      <c r="B281" s="96" t="s">
        <v>22</v>
      </c>
      <c r="C281" s="91" t="s">
        <v>1954</v>
      </c>
      <c r="D281" s="91">
        <v>4</v>
      </c>
      <c r="E281" s="92">
        <v>52850870</v>
      </c>
      <c r="F281" s="90" t="s">
        <v>2387</v>
      </c>
      <c r="G281" s="91" t="s">
        <v>1956</v>
      </c>
      <c r="H281" s="91">
        <v>4</v>
      </c>
      <c r="I281" s="92">
        <v>53485075</v>
      </c>
      <c r="J281" s="96" t="s">
        <v>2388</v>
      </c>
      <c r="K281" s="207" t="s">
        <v>2389</v>
      </c>
    </row>
    <row r="282" spans="1:11" x14ac:dyDescent="0.25">
      <c r="A282" s="476"/>
      <c r="B282" s="96" t="s">
        <v>22</v>
      </c>
      <c r="C282" s="91" t="s">
        <v>1975</v>
      </c>
      <c r="D282" s="91">
        <v>5</v>
      </c>
      <c r="E282" s="92">
        <v>11624835</v>
      </c>
      <c r="F282" s="90" t="s">
        <v>2098</v>
      </c>
      <c r="G282" s="91" t="s">
        <v>1956</v>
      </c>
      <c r="H282" s="91">
        <v>18</v>
      </c>
      <c r="I282" s="92">
        <v>3651793</v>
      </c>
      <c r="J282" s="96" t="s">
        <v>2390</v>
      </c>
      <c r="K282" s="207" t="s">
        <v>2391</v>
      </c>
    </row>
    <row r="283" spans="1:11" x14ac:dyDescent="0.25">
      <c r="A283" s="476"/>
      <c r="B283" s="96" t="s">
        <v>22</v>
      </c>
      <c r="C283" s="91" t="s">
        <v>1975</v>
      </c>
      <c r="D283" s="91">
        <v>5</v>
      </c>
      <c r="E283" s="92">
        <v>12690769</v>
      </c>
      <c r="F283" s="90" t="s">
        <v>2392</v>
      </c>
      <c r="G283" s="91" t="s">
        <v>1956</v>
      </c>
      <c r="H283" s="91">
        <v>18</v>
      </c>
      <c r="I283" s="92">
        <v>3651988</v>
      </c>
      <c r="J283" s="96" t="s">
        <v>2390</v>
      </c>
      <c r="K283" s="207" t="s">
        <v>2393</v>
      </c>
    </row>
    <row r="284" spans="1:11" x14ac:dyDescent="0.25">
      <c r="A284" s="476"/>
      <c r="B284" s="96" t="s">
        <v>22</v>
      </c>
      <c r="C284" s="91" t="s">
        <v>1954</v>
      </c>
      <c r="D284" s="91">
        <v>7</v>
      </c>
      <c r="E284" s="92">
        <v>126075005</v>
      </c>
      <c r="F284" s="90" t="s">
        <v>2394</v>
      </c>
      <c r="G284" s="91" t="s">
        <v>1956</v>
      </c>
      <c r="H284" s="91">
        <v>7</v>
      </c>
      <c r="I284" s="92">
        <v>154126965</v>
      </c>
      <c r="J284" s="96" t="s">
        <v>2395</v>
      </c>
      <c r="K284" s="207" t="s">
        <v>2396</v>
      </c>
    </row>
    <row r="285" spans="1:11" x14ac:dyDescent="0.25">
      <c r="A285" s="476"/>
      <c r="B285" s="96" t="s">
        <v>22</v>
      </c>
      <c r="C285" s="91" t="s">
        <v>1960</v>
      </c>
      <c r="D285" s="91">
        <v>7</v>
      </c>
      <c r="E285" s="92">
        <v>126151064</v>
      </c>
      <c r="F285" s="90" t="s">
        <v>2397</v>
      </c>
      <c r="G285" s="91" t="s">
        <v>1956</v>
      </c>
      <c r="H285" s="91">
        <v>7</v>
      </c>
      <c r="I285" s="92">
        <v>137076811</v>
      </c>
      <c r="J285" s="96" t="s">
        <v>2398</v>
      </c>
      <c r="K285" s="207" t="s">
        <v>2399</v>
      </c>
    </row>
    <row r="286" spans="1:11" x14ac:dyDescent="0.25">
      <c r="A286" s="476"/>
      <c r="B286" s="96" t="s">
        <v>22</v>
      </c>
      <c r="C286" s="91" t="s">
        <v>1954</v>
      </c>
      <c r="D286" s="91">
        <v>7</v>
      </c>
      <c r="E286" s="92">
        <v>126200056</v>
      </c>
      <c r="F286" s="90" t="s">
        <v>2397</v>
      </c>
      <c r="G286" s="91" t="s">
        <v>1956</v>
      </c>
      <c r="H286" s="91">
        <v>7</v>
      </c>
      <c r="I286" s="92">
        <v>137115513</v>
      </c>
      <c r="J286" s="96" t="s">
        <v>2398</v>
      </c>
      <c r="K286" s="207" t="s">
        <v>2399</v>
      </c>
    </row>
    <row r="287" spans="1:11" x14ac:dyDescent="0.25">
      <c r="A287" s="476"/>
      <c r="B287" s="96" t="s">
        <v>22</v>
      </c>
      <c r="C287" s="91" t="s">
        <v>1964</v>
      </c>
      <c r="D287" s="91">
        <v>7</v>
      </c>
      <c r="E287" s="92">
        <v>126217479</v>
      </c>
      <c r="F287" s="90" t="s">
        <v>2397</v>
      </c>
      <c r="G287" s="91" t="s">
        <v>1956</v>
      </c>
      <c r="H287" s="91">
        <v>7</v>
      </c>
      <c r="I287" s="92">
        <v>154121655</v>
      </c>
      <c r="J287" s="96" t="s">
        <v>2395</v>
      </c>
      <c r="K287" s="207" t="s">
        <v>2400</v>
      </c>
    </row>
    <row r="288" spans="1:11" x14ac:dyDescent="0.25">
      <c r="A288" s="476"/>
      <c r="B288" s="96" t="s">
        <v>22</v>
      </c>
      <c r="C288" s="91" t="s">
        <v>1964</v>
      </c>
      <c r="D288" s="91">
        <v>7</v>
      </c>
      <c r="E288" s="92">
        <v>136587560</v>
      </c>
      <c r="F288" s="90" t="s">
        <v>2401</v>
      </c>
      <c r="G288" s="91" t="s">
        <v>1956</v>
      </c>
      <c r="H288" s="91">
        <v>7</v>
      </c>
      <c r="I288" s="92">
        <v>148829224</v>
      </c>
      <c r="J288" s="96" t="s">
        <v>2402</v>
      </c>
      <c r="K288" s="207" t="s">
        <v>2403</v>
      </c>
    </row>
    <row r="289" spans="1:12" x14ac:dyDescent="0.25">
      <c r="A289" s="476"/>
      <c r="B289" s="96" t="s">
        <v>22</v>
      </c>
      <c r="C289" s="91" t="s">
        <v>1960</v>
      </c>
      <c r="D289" s="91">
        <v>7</v>
      </c>
      <c r="E289" s="92">
        <v>136612280</v>
      </c>
      <c r="F289" s="90" t="s">
        <v>2401</v>
      </c>
      <c r="G289" s="91" t="s">
        <v>1956</v>
      </c>
      <c r="H289" s="91">
        <v>7</v>
      </c>
      <c r="I289" s="92">
        <v>136645361</v>
      </c>
      <c r="J289" s="90" t="s">
        <v>2401</v>
      </c>
      <c r="K289" s="207" t="s">
        <v>2404</v>
      </c>
    </row>
    <row r="290" spans="1:12" x14ac:dyDescent="0.25">
      <c r="A290" s="476"/>
      <c r="B290" s="96" t="s">
        <v>22</v>
      </c>
      <c r="C290" s="91" t="s">
        <v>1954</v>
      </c>
      <c r="D290" s="91">
        <v>7</v>
      </c>
      <c r="E290" s="92">
        <v>136617583</v>
      </c>
      <c r="F290" s="90" t="s">
        <v>2401</v>
      </c>
      <c r="G290" s="91" t="s">
        <v>1956</v>
      </c>
      <c r="H290" s="91">
        <v>7</v>
      </c>
      <c r="I290" s="92">
        <v>154150274</v>
      </c>
      <c r="J290" s="96" t="s">
        <v>2395</v>
      </c>
      <c r="K290" s="207" t="s">
        <v>2405</v>
      </c>
    </row>
    <row r="291" spans="1:12" x14ac:dyDescent="0.25">
      <c r="A291" s="476"/>
      <c r="B291" s="96" t="s">
        <v>22</v>
      </c>
      <c r="C291" s="91" t="s">
        <v>1960</v>
      </c>
      <c r="D291" s="91">
        <v>7</v>
      </c>
      <c r="E291" s="92">
        <v>136630389</v>
      </c>
      <c r="F291" s="90" t="s">
        <v>2401</v>
      </c>
      <c r="G291" s="91" t="s">
        <v>1956</v>
      </c>
      <c r="H291" s="91">
        <v>7</v>
      </c>
      <c r="I291" s="92">
        <v>154126980</v>
      </c>
      <c r="J291" s="96" t="s">
        <v>2395</v>
      </c>
      <c r="K291" s="207" t="s">
        <v>2405</v>
      </c>
    </row>
    <row r="292" spans="1:12" x14ac:dyDescent="0.25">
      <c r="A292" s="476"/>
      <c r="B292" s="96" t="s">
        <v>22</v>
      </c>
      <c r="C292" s="91" t="s">
        <v>1960</v>
      </c>
      <c r="D292" s="91">
        <v>7</v>
      </c>
      <c r="E292" s="92">
        <v>137057079</v>
      </c>
      <c r="F292" s="90" t="s">
        <v>2406</v>
      </c>
      <c r="G292" s="91" t="s">
        <v>1956</v>
      </c>
      <c r="H292" s="91">
        <v>7</v>
      </c>
      <c r="I292" s="92">
        <v>154121291</v>
      </c>
      <c r="J292" s="96" t="s">
        <v>2395</v>
      </c>
      <c r="K292" s="207" t="s">
        <v>2396</v>
      </c>
    </row>
    <row r="293" spans="1:12" x14ac:dyDescent="0.25">
      <c r="A293" s="476"/>
      <c r="B293" s="96" t="s">
        <v>22</v>
      </c>
      <c r="C293" s="91" t="s">
        <v>1964</v>
      </c>
      <c r="D293" s="91">
        <v>7</v>
      </c>
      <c r="E293" s="92">
        <v>143575505</v>
      </c>
      <c r="F293" s="90" t="s">
        <v>2407</v>
      </c>
      <c r="G293" s="91" t="s">
        <v>1956</v>
      </c>
      <c r="H293" s="91">
        <v>7</v>
      </c>
      <c r="I293" s="92">
        <v>154127393</v>
      </c>
      <c r="J293" s="96" t="s">
        <v>2395</v>
      </c>
      <c r="K293" s="207" t="s">
        <v>2408</v>
      </c>
    </row>
    <row r="294" spans="1:12" x14ac:dyDescent="0.25">
      <c r="A294" s="476"/>
      <c r="B294" s="96" t="s">
        <v>22</v>
      </c>
      <c r="C294" s="91" t="s">
        <v>1964</v>
      </c>
      <c r="D294" s="91">
        <v>7</v>
      </c>
      <c r="E294" s="92">
        <v>143623227</v>
      </c>
      <c r="F294" s="90" t="s">
        <v>2409</v>
      </c>
      <c r="G294" s="91" t="s">
        <v>1956</v>
      </c>
      <c r="H294" s="91">
        <v>7</v>
      </c>
      <c r="I294" s="92">
        <v>154133626</v>
      </c>
      <c r="J294" s="96" t="s">
        <v>2395</v>
      </c>
      <c r="K294" s="207" t="s">
        <v>2396</v>
      </c>
    </row>
    <row r="295" spans="1:12" x14ac:dyDescent="0.25">
      <c r="A295" s="476"/>
      <c r="B295" s="96" t="s">
        <v>22</v>
      </c>
      <c r="C295" s="91" t="s">
        <v>1964</v>
      </c>
      <c r="D295" s="91">
        <v>7</v>
      </c>
      <c r="E295" s="92">
        <v>146572705</v>
      </c>
      <c r="F295" s="90" t="s">
        <v>2410</v>
      </c>
      <c r="G295" s="91" t="s">
        <v>1956</v>
      </c>
      <c r="H295" s="91">
        <v>7</v>
      </c>
      <c r="I295" s="92">
        <v>154126665</v>
      </c>
      <c r="J295" s="96" t="s">
        <v>2395</v>
      </c>
      <c r="K295" s="207" t="s">
        <v>2411</v>
      </c>
    </row>
    <row r="296" spans="1:12" x14ac:dyDescent="0.25">
      <c r="A296" s="476"/>
      <c r="B296" s="96" t="s">
        <v>22</v>
      </c>
      <c r="C296" s="91" t="s">
        <v>1960</v>
      </c>
      <c r="D296" s="91">
        <v>7</v>
      </c>
      <c r="E296" s="92">
        <v>147793518</v>
      </c>
      <c r="F296" s="90" t="s">
        <v>2410</v>
      </c>
      <c r="G296" s="91" t="s">
        <v>1956</v>
      </c>
      <c r="H296" s="91">
        <v>7</v>
      </c>
      <c r="I296" s="92">
        <v>155774664</v>
      </c>
      <c r="J296" s="96" t="s">
        <v>2412</v>
      </c>
      <c r="K296" s="207" t="s">
        <v>1992</v>
      </c>
    </row>
    <row r="297" spans="1:12" x14ac:dyDescent="0.25">
      <c r="A297" s="476"/>
      <c r="B297" s="96" t="s">
        <v>22</v>
      </c>
      <c r="C297" s="91" t="s">
        <v>1954</v>
      </c>
      <c r="D297" s="91">
        <v>8</v>
      </c>
      <c r="E297" s="92">
        <v>41937560</v>
      </c>
      <c r="F297" s="90" t="s">
        <v>2413</v>
      </c>
      <c r="G297" s="91" t="s">
        <v>1956</v>
      </c>
      <c r="H297" s="91">
        <v>8</v>
      </c>
      <c r="I297" s="92">
        <v>42163075</v>
      </c>
      <c r="J297" s="90" t="s">
        <v>2414</v>
      </c>
      <c r="K297" s="207" t="s">
        <v>2415</v>
      </c>
    </row>
    <row r="298" spans="1:12" x14ac:dyDescent="0.25">
      <c r="A298" s="476"/>
      <c r="B298" s="96" t="s">
        <v>22</v>
      </c>
      <c r="C298" s="91" t="s">
        <v>1954</v>
      </c>
      <c r="D298" s="91">
        <v>9</v>
      </c>
      <c r="E298" s="92">
        <v>13799610</v>
      </c>
      <c r="F298" s="90" t="s">
        <v>2416</v>
      </c>
      <c r="G298" s="91" t="s">
        <v>1956</v>
      </c>
      <c r="H298" s="91">
        <v>9</v>
      </c>
      <c r="I298" s="92">
        <v>13806203</v>
      </c>
      <c r="J298" s="90" t="s">
        <v>2416</v>
      </c>
      <c r="K298" s="207"/>
    </row>
    <row r="299" spans="1:12" x14ac:dyDescent="0.25">
      <c r="A299" s="476"/>
      <c r="B299" s="96" t="s">
        <v>22</v>
      </c>
      <c r="C299" s="91" t="s">
        <v>1960</v>
      </c>
      <c r="D299" s="91">
        <v>9</v>
      </c>
      <c r="E299" s="92">
        <v>136828361</v>
      </c>
      <c r="F299" s="90" t="s">
        <v>2417</v>
      </c>
      <c r="G299" s="91" t="s">
        <v>1956</v>
      </c>
      <c r="H299" s="91">
        <v>9</v>
      </c>
      <c r="I299" s="92">
        <v>136997587</v>
      </c>
      <c r="J299" s="96" t="s">
        <v>2418</v>
      </c>
      <c r="K299" s="207" t="s">
        <v>2419</v>
      </c>
    </row>
    <row r="300" spans="1:12" x14ac:dyDescent="0.25">
      <c r="A300" s="476"/>
      <c r="B300" s="96" t="s">
        <v>22</v>
      </c>
      <c r="C300" s="91" t="s">
        <v>1975</v>
      </c>
      <c r="D300" s="91">
        <v>9</v>
      </c>
      <c r="E300" s="92">
        <v>139606721</v>
      </c>
      <c r="F300" s="90" t="s">
        <v>2420</v>
      </c>
      <c r="G300" s="91" t="s">
        <v>1956</v>
      </c>
      <c r="H300" s="91">
        <v>22</v>
      </c>
      <c r="I300" s="92">
        <v>49222892</v>
      </c>
      <c r="J300" s="90" t="s">
        <v>2421</v>
      </c>
      <c r="K300" s="207"/>
    </row>
    <row r="301" spans="1:12" x14ac:dyDescent="0.25">
      <c r="A301" s="476"/>
      <c r="B301" s="96" t="s">
        <v>22</v>
      </c>
      <c r="C301" s="91" t="s">
        <v>1975</v>
      </c>
      <c r="D301" s="91">
        <v>9</v>
      </c>
      <c r="E301" s="92">
        <v>139607315</v>
      </c>
      <c r="F301" s="90" t="s">
        <v>2422</v>
      </c>
      <c r="G301" s="91" t="s">
        <v>1956</v>
      </c>
      <c r="H301" s="91">
        <v>22</v>
      </c>
      <c r="I301" s="92">
        <v>50364274</v>
      </c>
      <c r="J301" s="90" t="s">
        <v>2421</v>
      </c>
      <c r="K301" s="207" t="s">
        <v>2423</v>
      </c>
    </row>
    <row r="302" spans="1:12" x14ac:dyDescent="0.25">
      <c r="A302" s="476"/>
      <c r="B302" s="96" t="s">
        <v>22</v>
      </c>
      <c r="C302" s="91" t="s">
        <v>1975</v>
      </c>
      <c r="D302" s="91">
        <v>10</v>
      </c>
      <c r="E302" s="92">
        <v>95187831</v>
      </c>
      <c r="F302" s="96" t="s">
        <v>2424</v>
      </c>
      <c r="G302" s="91" t="s">
        <v>1956</v>
      </c>
      <c r="H302" s="91">
        <v>13</v>
      </c>
      <c r="I302" s="92">
        <v>114246729</v>
      </c>
      <c r="J302" s="90" t="s">
        <v>2425</v>
      </c>
      <c r="K302" s="207" t="s">
        <v>2426</v>
      </c>
    </row>
    <row r="303" spans="1:12" s="228" customFormat="1" x14ac:dyDescent="0.25">
      <c r="A303" s="476"/>
      <c r="B303" s="273" t="s">
        <v>3261</v>
      </c>
      <c r="C303" s="274" t="s">
        <v>1960</v>
      </c>
      <c r="D303" s="274">
        <v>12</v>
      </c>
      <c r="E303" s="273">
        <v>57939763</v>
      </c>
      <c r="F303" s="273"/>
      <c r="G303" s="91" t="s">
        <v>1956</v>
      </c>
      <c r="H303" s="274">
        <v>12</v>
      </c>
      <c r="I303" s="273">
        <v>59037635</v>
      </c>
      <c r="J303" s="92"/>
      <c r="K303" s="93"/>
      <c r="L303" s="149"/>
    </row>
    <row r="304" spans="1:12" s="228" customFormat="1" x14ac:dyDescent="0.25">
      <c r="A304" s="476"/>
      <c r="B304" s="273" t="s">
        <v>3261</v>
      </c>
      <c r="C304" s="274" t="s">
        <v>1960</v>
      </c>
      <c r="D304" s="274">
        <v>12</v>
      </c>
      <c r="E304" s="273">
        <v>57970121</v>
      </c>
      <c r="F304" s="273"/>
      <c r="G304" s="91" t="s">
        <v>1956</v>
      </c>
      <c r="H304" s="274">
        <v>12</v>
      </c>
      <c r="I304" s="273">
        <v>69981505</v>
      </c>
      <c r="J304" s="92"/>
      <c r="K304" s="93"/>
      <c r="L304" s="149"/>
    </row>
    <row r="305" spans="1:12" s="228" customFormat="1" x14ac:dyDescent="0.25">
      <c r="A305" s="476"/>
      <c r="B305" s="273" t="s">
        <v>3261</v>
      </c>
      <c r="C305" s="274" t="s">
        <v>1954</v>
      </c>
      <c r="D305" s="274">
        <v>12</v>
      </c>
      <c r="E305" s="273">
        <v>58010834</v>
      </c>
      <c r="F305" s="273"/>
      <c r="G305" s="91" t="s">
        <v>1956</v>
      </c>
      <c r="H305" s="274">
        <v>12</v>
      </c>
      <c r="I305" s="273">
        <v>58945434</v>
      </c>
      <c r="J305" s="92"/>
      <c r="K305" s="93"/>
      <c r="L305" s="149"/>
    </row>
    <row r="306" spans="1:12" s="228" customFormat="1" x14ac:dyDescent="0.25">
      <c r="A306" s="476"/>
      <c r="B306" s="273" t="s">
        <v>3261</v>
      </c>
      <c r="C306" s="274" t="s">
        <v>1960</v>
      </c>
      <c r="D306" s="274">
        <v>12</v>
      </c>
      <c r="E306" s="273">
        <v>58048444</v>
      </c>
      <c r="F306" s="273"/>
      <c r="G306" s="91" t="s">
        <v>1956</v>
      </c>
      <c r="H306" s="274">
        <v>12</v>
      </c>
      <c r="I306" s="273">
        <v>59159305</v>
      </c>
      <c r="J306" s="92"/>
      <c r="K306" s="93"/>
      <c r="L306" s="149"/>
    </row>
    <row r="307" spans="1:12" s="228" customFormat="1" x14ac:dyDescent="0.25">
      <c r="A307" s="476"/>
      <c r="B307" s="273" t="s">
        <v>3261</v>
      </c>
      <c r="C307" s="274" t="s">
        <v>1964</v>
      </c>
      <c r="D307" s="274">
        <v>12</v>
      </c>
      <c r="E307" s="273">
        <v>58149608</v>
      </c>
      <c r="F307" s="273"/>
      <c r="G307" s="91" t="s">
        <v>1956</v>
      </c>
      <c r="H307" s="274">
        <v>12</v>
      </c>
      <c r="I307" s="273">
        <v>59103283</v>
      </c>
      <c r="J307" s="92"/>
      <c r="K307" s="93"/>
      <c r="L307" s="149"/>
    </row>
    <row r="308" spans="1:12" s="228" customFormat="1" x14ac:dyDescent="0.25">
      <c r="A308" s="476"/>
      <c r="B308" s="273" t="s">
        <v>3261</v>
      </c>
      <c r="C308" s="274" t="s">
        <v>1964</v>
      </c>
      <c r="D308" s="274">
        <v>12</v>
      </c>
      <c r="E308" s="273">
        <v>58171005</v>
      </c>
      <c r="F308" s="273"/>
      <c r="G308" s="91" t="s">
        <v>1956</v>
      </c>
      <c r="H308" s="274">
        <v>12</v>
      </c>
      <c r="I308" s="273">
        <v>58233742</v>
      </c>
      <c r="J308" s="92"/>
      <c r="K308" s="93"/>
      <c r="L308" s="149"/>
    </row>
    <row r="309" spans="1:12" s="228" customFormat="1" x14ac:dyDescent="0.25">
      <c r="A309" s="476"/>
      <c r="B309" s="273" t="s">
        <v>3261</v>
      </c>
      <c r="C309" s="274" t="s">
        <v>1964</v>
      </c>
      <c r="D309" s="274">
        <v>12</v>
      </c>
      <c r="E309" s="273">
        <v>58171156</v>
      </c>
      <c r="F309" s="273"/>
      <c r="G309" s="91" t="s">
        <v>1956</v>
      </c>
      <c r="H309" s="274">
        <v>12</v>
      </c>
      <c r="I309" s="273">
        <v>69169708</v>
      </c>
      <c r="J309" s="92"/>
      <c r="K309" s="93"/>
      <c r="L309" s="149"/>
    </row>
    <row r="310" spans="1:12" s="228" customFormat="1" x14ac:dyDescent="0.25">
      <c r="A310" s="476"/>
      <c r="B310" s="273" t="s">
        <v>3261</v>
      </c>
      <c r="C310" s="274" t="s">
        <v>1954</v>
      </c>
      <c r="D310" s="274">
        <v>12</v>
      </c>
      <c r="E310" s="273">
        <v>58184161</v>
      </c>
      <c r="F310" s="273"/>
      <c r="G310" s="91" t="s">
        <v>1956</v>
      </c>
      <c r="H310" s="274">
        <v>12</v>
      </c>
      <c r="I310" s="273">
        <v>70105117</v>
      </c>
      <c r="J310" s="92"/>
      <c r="K310" s="93"/>
      <c r="L310" s="149"/>
    </row>
    <row r="311" spans="1:12" s="228" customFormat="1" x14ac:dyDescent="0.25">
      <c r="A311" s="476"/>
      <c r="B311" s="273" t="s">
        <v>3261</v>
      </c>
      <c r="C311" s="274" t="s">
        <v>1964</v>
      </c>
      <c r="D311" s="274">
        <v>12</v>
      </c>
      <c r="E311" s="273">
        <v>58210505</v>
      </c>
      <c r="F311" s="273"/>
      <c r="G311" s="91" t="s">
        <v>1956</v>
      </c>
      <c r="H311" s="274">
        <v>12</v>
      </c>
      <c r="I311" s="273">
        <v>69604231</v>
      </c>
      <c r="J311" s="92"/>
      <c r="K311" s="93"/>
      <c r="L311" s="149"/>
    </row>
    <row r="312" spans="1:12" s="228" customFormat="1" x14ac:dyDescent="0.25">
      <c r="A312" s="476"/>
      <c r="B312" s="273" t="s">
        <v>3261</v>
      </c>
      <c r="C312" s="274" t="s">
        <v>1954</v>
      </c>
      <c r="D312" s="274">
        <v>12</v>
      </c>
      <c r="E312" s="273">
        <v>58230270</v>
      </c>
      <c r="F312" s="273"/>
      <c r="G312" s="91" t="s">
        <v>1956</v>
      </c>
      <c r="H312" s="274">
        <v>12</v>
      </c>
      <c r="I312" s="273">
        <v>128602852</v>
      </c>
      <c r="J312" s="92"/>
      <c r="K312" s="93"/>
      <c r="L312" s="149"/>
    </row>
    <row r="313" spans="1:12" s="228" customFormat="1" x14ac:dyDescent="0.25">
      <c r="A313" s="476"/>
      <c r="B313" s="273" t="s">
        <v>3261</v>
      </c>
      <c r="C313" s="274" t="s">
        <v>1964</v>
      </c>
      <c r="D313" s="274">
        <v>12</v>
      </c>
      <c r="E313" s="273">
        <v>58232184</v>
      </c>
      <c r="F313" s="273"/>
      <c r="G313" s="91" t="s">
        <v>1956</v>
      </c>
      <c r="H313" s="274">
        <v>12</v>
      </c>
      <c r="I313" s="273">
        <v>69260433</v>
      </c>
      <c r="J313" s="92"/>
      <c r="K313" s="93"/>
      <c r="L313" s="149"/>
    </row>
    <row r="314" spans="1:12" s="228" customFormat="1" x14ac:dyDescent="0.25">
      <c r="A314" s="476"/>
      <c r="B314" s="273" t="s">
        <v>3261</v>
      </c>
      <c r="C314" s="274" t="s">
        <v>1960</v>
      </c>
      <c r="D314" s="274">
        <v>12</v>
      </c>
      <c r="E314" s="273">
        <v>58233362</v>
      </c>
      <c r="F314" s="273"/>
      <c r="G314" s="91" t="s">
        <v>1956</v>
      </c>
      <c r="H314" s="274">
        <v>12</v>
      </c>
      <c r="I314" s="273">
        <v>58259890</v>
      </c>
      <c r="J314" s="92"/>
      <c r="K314" s="93"/>
      <c r="L314" s="149"/>
    </row>
    <row r="315" spans="1:12" s="228" customFormat="1" x14ac:dyDescent="0.25">
      <c r="A315" s="476"/>
      <c r="B315" s="273" t="s">
        <v>3261</v>
      </c>
      <c r="C315" s="274" t="s">
        <v>1964</v>
      </c>
      <c r="D315" s="274">
        <v>12</v>
      </c>
      <c r="E315" s="273">
        <v>58330318</v>
      </c>
      <c r="F315" s="273"/>
      <c r="G315" s="91" t="s">
        <v>1956</v>
      </c>
      <c r="H315" s="274">
        <v>12</v>
      </c>
      <c r="I315" s="273">
        <v>69539859</v>
      </c>
      <c r="J315" s="92"/>
      <c r="K315" s="93"/>
      <c r="L315" s="149"/>
    </row>
    <row r="316" spans="1:12" s="228" customFormat="1" x14ac:dyDescent="0.25">
      <c r="A316" s="476"/>
      <c r="B316" s="273" t="s">
        <v>3261</v>
      </c>
      <c r="C316" s="274" t="s">
        <v>1964</v>
      </c>
      <c r="D316" s="274">
        <v>12</v>
      </c>
      <c r="E316" s="273">
        <v>58426100</v>
      </c>
      <c r="F316" s="273"/>
      <c r="G316" s="91" t="s">
        <v>1956</v>
      </c>
      <c r="H316" s="274">
        <v>12</v>
      </c>
      <c r="I316" s="273">
        <v>69272056</v>
      </c>
      <c r="J316" s="92"/>
      <c r="K316" s="93"/>
      <c r="L316" s="149"/>
    </row>
    <row r="317" spans="1:12" s="228" customFormat="1" x14ac:dyDescent="0.25">
      <c r="A317" s="476"/>
      <c r="B317" s="273" t="s">
        <v>3261</v>
      </c>
      <c r="C317" s="274" t="s">
        <v>1964</v>
      </c>
      <c r="D317" s="274">
        <v>12</v>
      </c>
      <c r="E317" s="273">
        <v>58428380</v>
      </c>
      <c r="F317" s="273"/>
      <c r="G317" s="91" t="s">
        <v>1956</v>
      </c>
      <c r="H317" s="274">
        <v>12</v>
      </c>
      <c r="I317" s="273">
        <v>69671755</v>
      </c>
      <c r="J317" s="92"/>
      <c r="K317" s="93"/>
      <c r="L317" s="149"/>
    </row>
    <row r="318" spans="1:12" s="228" customFormat="1" x14ac:dyDescent="0.25">
      <c r="A318" s="476"/>
      <c r="B318" s="273" t="s">
        <v>3261</v>
      </c>
      <c r="C318" s="274" t="s">
        <v>1960</v>
      </c>
      <c r="D318" s="274">
        <v>12</v>
      </c>
      <c r="E318" s="273">
        <v>58460723</v>
      </c>
      <c r="F318" s="273"/>
      <c r="G318" s="91" t="s">
        <v>1956</v>
      </c>
      <c r="H318" s="274">
        <v>12</v>
      </c>
      <c r="I318" s="273">
        <v>69647758</v>
      </c>
      <c r="J318" s="92"/>
      <c r="K318" s="93"/>
      <c r="L318" s="149"/>
    </row>
    <row r="319" spans="1:12" s="228" customFormat="1" x14ac:dyDescent="0.25">
      <c r="A319" s="476"/>
      <c r="B319" s="273" t="s">
        <v>3261</v>
      </c>
      <c r="C319" s="274" t="s">
        <v>1954</v>
      </c>
      <c r="D319" s="274">
        <v>12</v>
      </c>
      <c r="E319" s="273">
        <v>58534322</v>
      </c>
      <c r="F319" s="273"/>
      <c r="G319" s="91" t="s">
        <v>1956</v>
      </c>
      <c r="H319" s="274">
        <v>12</v>
      </c>
      <c r="I319" s="273">
        <v>128531547</v>
      </c>
      <c r="J319" s="92"/>
      <c r="K319" s="93"/>
      <c r="L319" s="149"/>
    </row>
    <row r="320" spans="1:12" s="228" customFormat="1" x14ac:dyDescent="0.25">
      <c r="A320" s="476"/>
      <c r="B320" s="273" t="s">
        <v>3261</v>
      </c>
      <c r="C320" s="274" t="s">
        <v>1964</v>
      </c>
      <c r="D320" s="274">
        <v>12</v>
      </c>
      <c r="E320" s="273">
        <v>58644599</v>
      </c>
      <c r="F320" s="273"/>
      <c r="G320" s="91" t="s">
        <v>1956</v>
      </c>
      <c r="H320" s="274">
        <v>12</v>
      </c>
      <c r="I320" s="273">
        <v>70823861</v>
      </c>
      <c r="J320" s="92"/>
      <c r="K320" s="93"/>
      <c r="L320" s="149"/>
    </row>
    <row r="321" spans="1:12" s="228" customFormat="1" x14ac:dyDescent="0.25">
      <c r="A321" s="476"/>
      <c r="B321" s="273" t="s">
        <v>3261</v>
      </c>
      <c r="C321" s="274" t="s">
        <v>1964</v>
      </c>
      <c r="D321" s="274">
        <v>12</v>
      </c>
      <c r="E321" s="273">
        <v>58803230</v>
      </c>
      <c r="F321" s="273"/>
      <c r="G321" s="91" t="s">
        <v>1956</v>
      </c>
      <c r="H321" s="274">
        <v>12</v>
      </c>
      <c r="I321" s="273">
        <v>69636566</v>
      </c>
      <c r="J321" s="92"/>
      <c r="K321" s="93"/>
      <c r="L321" s="149"/>
    </row>
    <row r="322" spans="1:12" s="228" customFormat="1" x14ac:dyDescent="0.25">
      <c r="A322" s="476"/>
      <c r="B322" s="273" t="s">
        <v>3261</v>
      </c>
      <c r="C322" s="274" t="s">
        <v>1960</v>
      </c>
      <c r="D322" s="274">
        <v>12</v>
      </c>
      <c r="E322" s="273">
        <v>58856232</v>
      </c>
      <c r="F322" s="273"/>
      <c r="G322" s="91" t="s">
        <v>1956</v>
      </c>
      <c r="H322" s="274">
        <v>12</v>
      </c>
      <c r="I322" s="273">
        <v>128410220</v>
      </c>
      <c r="J322" s="92"/>
      <c r="K322" s="93"/>
      <c r="L322" s="149"/>
    </row>
    <row r="323" spans="1:12" s="228" customFormat="1" x14ac:dyDescent="0.25">
      <c r="A323" s="476"/>
      <c r="B323" s="273" t="s">
        <v>3261</v>
      </c>
      <c r="C323" s="274" t="s">
        <v>1964</v>
      </c>
      <c r="D323" s="274">
        <v>12</v>
      </c>
      <c r="E323" s="273">
        <v>58856674</v>
      </c>
      <c r="F323" s="273"/>
      <c r="G323" s="91" t="s">
        <v>1956</v>
      </c>
      <c r="H323" s="274">
        <v>12</v>
      </c>
      <c r="I323" s="273">
        <v>69547869</v>
      </c>
      <c r="J323" s="92"/>
      <c r="K323" s="93"/>
      <c r="L323" s="149"/>
    </row>
    <row r="324" spans="1:12" s="228" customFormat="1" x14ac:dyDescent="0.25">
      <c r="A324" s="476"/>
      <c r="B324" s="273" t="s">
        <v>3261</v>
      </c>
      <c r="C324" s="274" t="s">
        <v>1954</v>
      </c>
      <c r="D324" s="274">
        <v>12</v>
      </c>
      <c r="E324" s="273">
        <v>58888863</v>
      </c>
      <c r="F324" s="273"/>
      <c r="G324" s="91" t="s">
        <v>1956</v>
      </c>
      <c r="H324" s="274">
        <v>12</v>
      </c>
      <c r="I324" s="273">
        <v>128029267</v>
      </c>
      <c r="J324" s="92"/>
      <c r="K324" s="93"/>
      <c r="L324" s="149"/>
    </row>
    <row r="325" spans="1:12" s="228" customFormat="1" x14ac:dyDescent="0.25">
      <c r="A325" s="476"/>
      <c r="B325" s="273" t="s">
        <v>3261</v>
      </c>
      <c r="C325" s="274" t="s">
        <v>1964</v>
      </c>
      <c r="D325" s="274">
        <v>12</v>
      </c>
      <c r="E325" s="273">
        <v>58981920</v>
      </c>
      <c r="F325" s="273"/>
      <c r="G325" s="91" t="s">
        <v>1956</v>
      </c>
      <c r="H325" s="274">
        <v>12</v>
      </c>
      <c r="I325" s="273">
        <v>59273573</v>
      </c>
      <c r="J325" s="92"/>
      <c r="K325" s="93"/>
      <c r="L325" s="149"/>
    </row>
    <row r="326" spans="1:12" s="228" customFormat="1" x14ac:dyDescent="0.25">
      <c r="A326" s="476"/>
      <c r="B326" s="273" t="s">
        <v>3261</v>
      </c>
      <c r="C326" s="274" t="s">
        <v>1964</v>
      </c>
      <c r="D326" s="274">
        <v>12</v>
      </c>
      <c r="E326" s="273">
        <v>59037539</v>
      </c>
      <c r="F326" s="273"/>
      <c r="G326" s="91" t="s">
        <v>1956</v>
      </c>
      <c r="H326" s="274">
        <v>12</v>
      </c>
      <c r="I326" s="273">
        <v>59173516</v>
      </c>
      <c r="J326" s="92"/>
      <c r="K326" s="93"/>
      <c r="L326" s="149"/>
    </row>
    <row r="327" spans="1:12" s="228" customFormat="1" x14ac:dyDescent="0.25">
      <c r="A327" s="476"/>
      <c r="B327" s="273" t="s">
        <v>3261</v>
      </c>
      <c r="C327" s="274" t="s">
        <v>1964</v>
      </c>
      <c r="D327" s="274">
        <v>12</v>
      </c>
      <c r="E327" s="273">
        <v>59064866</v>
      </c>
      <c r="F327" s="273"/>
      <c r="G327" s="91" t="s">
        <v>1956</v>
      </c>
      <c r="H327" s="274">
        <v>12</v>
      </c>
      <c r="I327" s="273">
        <v>69684943</v>
      </c>
      <c r="J327" s="92"/>
      <c r="K327" s="93"/>
      <c r="L327" s="149"/>
    </row>
    <row r="328" spans="1:12" s="228" customFormat="1" x14ac:dyDescent="0.25">
      <c r="A328" s="476"/>
      <c r="B328" s="273" t="s">
        <v>3261</v>
      </c>
      <c r="C328" s="274" t="s">
        <v>1964</v>
      </c>
      <c r="D328" s="274">
        <v>12</v>
      </c>
      <c r="E328" s="273">
        <v>59074576</v>
      </c>
      <c r="F328" s="273"/>
      <c r="G328" s="91" t="s">
        <v>1956</v>
      </c>
      <c r="H328" s="274">
        <v>12</v>
      </c>
      <c r="I328" s="273">
        <v>128528891</v>
      </c>
      <c r="J328" s="92"/>
      <c r="K328" s="93"/>
      <c r="L328" s="149"/>
    </row>
    <row r="329" spans="1:12" s="228" customFormat="1" x14ac:dyDescent="0.25">
      <c r="A329" s="476"/>
      <c r="B329" s="273" t="s">
        <v>3261</v>
      </c>
      <c r="C329" s="274" t="s">
        <v>1964</v>
      </c>
      <c r="D329" s="274">
        <v>12</v>
      </c>
      <c r="E329" s="273">
        <v>59087763</v>
      </c>
      <c r="F329" s="273"/>
      <c r="G329" s="91" t="s">
        <v>1956</v>
      </c>
      <c r="H329" s="274">
        <v>12</v>
      </c>
      <c r="I329" s="273">
        <v>69610004</v>
      </c>
      <c r="J329" s="92"/>
      <c r="K329" s="93"/>
      <c r="L329" s="149"/>
    </row>
    <row r="330" spans="1:12" s="228" customFormat="1" x14ac:dyDescent="0.25">
      <c r="A330" s="476"/>
      <c r="B330" s="273" t="s">
        <v>3261</v>
      </c>
      <c r="C330" s="274" t="s">
        <v>1954</v>
      </c>
      <c r="D330" s="274">
        <v>12</v>
      </c>
      <c r="E330" s="273">
        <v>59173738</v>
      </c>
      <c r="F330" s="273"/>
      <c r="G330" s="91" t="s">
        <v>1956</v>
      </c>
      <c r="H330" s="274">
        <v>12</v>
      </c>
      <c r="I330" s="273">
        <v>128519802</v>
      </c>
      <c r="J330" s="92"/>
      <c r="K330" s="93"/>
      <c r="L330" s="149"/>
    </row>
    <row r="331" spans="1:12" s="228" customFormat="1" x14ac:dyDescent="0.25">
      <c r="A331" s="476"/>
      <c r="B331" s="273" t="s">
        <v>3261</v>
      </c>
      <c r="C331" s="274" t="s">
        <v>1960</v>
      </c>
      <c r="D331" s="274">
        <v>12</v>
      </c>
      <c r="E331" s="273">
        <v>68696272</v>
      </c>
      <c r="F331" s="273"/>
      <c r="G331" s="91" t="s">
        <v>1956</v>
      </c>
      <c r="H331" s="274">
        <v>12</v>
      </c>
      <c r="I331" s="273">
        <v>68763391</v>
      </c>
      <c r="J331" s="92"/>
      <c r="K331" s="93"/>
      <c r="L331" s="149"/>
    </row>
    <row r="332" spans="1:12" s="228" customFormat="1" x14ac:dyDescent="0.25">
      <c r="A332" s="476"/>
      <c r="B332" s="273" t="s">
        <v>3261</v>
      </c>
      <c r="C332" s="274" t="s">
        <v>1964</v>
      </c>
      <c r="D332" s="274">
        <v>12</v>
      </c>
      <c r="E332" s="273">
        <v>68696304</v>
      </c>
      <c r="F332" s="273"/>
      <c r="G332" s="91" t="s">
        <v>1956</v>
      </c>
      <c r="H332" s="274">
        <v>12</v>
      </c>
      <c r="I332" s="273">
        <v>70360576</v>
      </c>
      <c r="J332" s="92"/>
      <c r="K332" s="93"/>
      <c r="L332" s="149"/>
    </row>
    <row r="333" spans="1:12" s="228" customFormat="1" x14ac:dyDescent="0.25">
      <c r="A333" s="476"/>
      <c r="B333" s="273" t="s">
        <v>3261</v>
      </c>
      <c r="C333" s="274" t="s">
        <v>1960</v>
      </c>
      <c r="D333" s="274">
        <v>12</v>
      </c>
      <c r="E333" s="273">
        <v>68697346</v>
      </c>
      <c r="F333" s="273"/>
      <c r="G333" s="91" t="s">
        <v>1956</v>
      </c>
      <c r="H333" s="274">
        <v>12</v>
      </c>
      <c r="I333" s="273">
        <v>69218918</v>
      </c>
      <c r="J333" s="92"/>
      <c r="K333" s="93"/>
      <c r="L333" s="149"/>
    </row>
    <row r="334" spans="1:12" s="228" customFormat="1" x14ac:dyDescent="0.25">
      <c r="A334" s="476"/>
      <c r="B334" s="273" t="s">
        <v>3261</v>
      </c>
      <c r="C334" s="274" t="s">
        <v>1964</v>
      </c>
      <c r="D334" s="274">
        <v>12</v>
      </c>
      <c r="E334" s="273">
        <v>68697374</v>
      </c>
      <c r="F334" s="273"/>
      <c r="G334" s="91" t="s">
        <v>1956</v>
      </c>
      <c r="H334" s="274">
        <v>12</v>
      </c>
      <c r="I334" s="273">
        <v>69595204</v>
      </c>
      <c r="J334" s="92"/>
      <c r="K334" s="93"/>
      <c r="L334" s="149"/>
    </row>
    <row r="335" spans="1:12" s="228" customFormat="1" x14ac:dyDescent="0.25">
      <c r="A335" s="476"/>
      <c r="B335" s="273" t="s">
        <v>3261</v>
      </c>
      <c r="C335" s="274" t="s">
        <v>1954</v>
      </c>
      <c r="D335" s="274">
        <v>12</v>
      </c>
      <c r="E335" s="273">
        <v>69173357</v>
      </c>
      <c r="F335" s="273"/>
      <c r="G335" s="91" t="s">
        <v>1956</v>
      </c>
      <c r="H335" s="274">
        <v>12</v>
      </c>
      <c r="I335" s="273">
        <v>71251201</v>
      </c>
      <c r="J335" s="92"/>
      <c r="K335" s="93"/>
      <c r="L335" s="149"/>
    </row>
    <row r="336" spans="1:12" s="228" customFormat="1" x14ac:dyDescent="0.25">
      <c r="A336" s="476"/>
      <c r="B336" s="273" t="s">
        <v>3261</v>
      </c>
      <c r="C336" s="274" t="s">
        <v>1960</v>
      </c>
      <c r="D336" s="274">
        <v>12</v>
      </c>
      <c r="E336" s="273">
        <v>69234079</v>
      </c>
      <c r="F336" s="273"/>
      <c r="G336" s="91" t="s">
        <v>1956</v>
      </c>
      <c r="H336" s="274">
        <v>12</v>
      </c>
      <c r="I336" s="273">
        <v>69743804</v>
      </c>
      <c r="J336" s="92"/>
      <c r="K336" s="93"/>
      <c r="L336" s="149"/>
    </row>
    <row r="337" spans="1:12" s="228" customFormat="1" x14ac:dyDescent="0.25">
      <c r="A337" s="476"/>
      <c r="B337" s="273" t="s">
        <v>3261</v>
      </c>
      <c r="C337" s="274" t="s">
        <v>1964</v>
      </c>
      <c r="D337" s="274">
        <v>12</v>
      </c>
      <c r="E337" s="273">
        <v>69245032</v>
      </c>
      <c r="F337" s="273"/>
      <c r="G337" s="91" t="s">
        <v>1956</v>
      </c>
      <c r="H337" s="274">
        <v>12</v>
      </c>
      <c r="I337" s="273">
        <v>69772762</v>
      </c>
      <c r="J337" s="92"/>
      <c r="K337" s="93"/>
      <c r="L337" s="149"/>
    </row>
    <row r="338" spans="1:12" s="228" customFormat="1" x14ac:dyDescent="0.25">
      <c r="A338" s="476"/>
      <c r="B338" s="273" t="s">
        <v>3261</v>
      </c>
      <c r="C338" s="274" t="s">
        <v>1954</v>
      </c>
      <c r="D338" s="274">
        <v>12</v>
      </c>
      <c r="E338" s="273">
        <v>69304236</v>
      </c>
      <c r="F338" s="273"/>
      <c r="G338" s="91" t="s">
        <v>1956</v>
      </c>
      <c r="H338" s="274">
        <v>12</v>
      </c>
      <c r="I338" s="273">
        <v>69722749</v>
      </c>
      <c r="J338" s="92"/>
      <c r="K338" s="93"/>
      <c r="L338" s="149"/>
    </row>
    <row r="339" spans="1:12" s="228" customFormat="1" x14ac:dyDescent="0.25">
      <c r="A339" s="476"/>
      <c r="B339" s="273" t="s">
        <v>3261</v>
      </c>
      <c r="C339" s="274" t="s">
        <v>1964</v>
      </c>
      <c r="D339" s="274">
        <v>12</v>
      </c>
      <c r="E339" s="273">
        <v>69325567</v>
      </c>
      <c r="F339" s="273"/>
      <c r="G339" s="91" t="s">
        <v>1956</v>
      </c>
      <c r="H339" s="274">
        <v>12</v>
      </c>
      <c r="I339" s="273">
        <v>69751306</v>
      </c>
      <c r="J339" s="92"/>
      <c r="K339" s="93"/>
      <c r="L339" s="149"/>
    </row>
    <row r="340" spans="1:12" s="228" customFormat="1" x14ac:dyDescent="0.25">
      <c r="A340" s="476"/>
      <c r="B340" s="273" t="s">
        <v>3261</v>
      </c>
      <c r="C340" s="274" t="s">
        <v>1954</v>
      </c>
      <c r="D340" s="274">
        <v>12</v>
      </c>
      <c r="E340" s="273">
        <v>69392436</v>
      </c>
      <c r="F340" s="273"/>
      <c r="G340" s="91" t="s">
        <v>1956</v>
      </c>
      <c r="H340" s="274">
        <v>12</v>
      </c>
      <c r="I340" s="273">
        <v>69702479</v>
      </c>
      <c r="J340" s="92"/>
      <c r="K340" s="93"/>
      <c r="L340" s="149"/>
    </row>
    <row r="341" spans="1:12" s="228" customFormat="1" x14ac:dyDescent="0.25">
      <c r="A341" s="476"/>
      <c r="B341" s="273" t="s">
        <v>3261</v>
      </c>
      <c r="C341" s="274" t="s">
        <v>1960</v>
      </c>
      <c r="D341" s="274">
        <v>12</v>
      </c>
      <c r="E341" s="273">
        <v>69438180</v>
      </c>
      <c r="F341" s="273"/>
      <c r="G341" s="91" t="s">
        <v>1956</v>
      </c>
      <c r="H341" s="274">
        <v>12</v>
      </c>
      <c r="I341" s="273">
        <v>128620186</v>
      </c>
      <c r="J341" s="92"/>
      <c r="K341" s="93"/>
      <c r="L341" s="149"/>
    </row>
    <row r="342" spans="1:12" s="228" customFormat="1" x14ac:dyDescent="0.25">
      <c r="A342" s="476"/>
      <c r="B342" s="273" t="s">
        <v>3261</v>
      </c>
      <c r="C342" s="274" t="s">
        <v>1964</v>
      </c>
      <c r="D342" s="274">
        <v>12</v>
      </c>
      <c r="E342" s="273">
        <v>69444284</v>
      </c>
      <c r="F342" s="273"/>
      <c r="G342" s="91" t="s">
        <v>1956</v>
      </c>
      <c r="H342" s="274">
        <v>12</v>
      </c>
      <c r="I342" s="273">
        <v>128372893</v>
      </c>
      <c r="J342" s="92"/>
      <c r="K342" s="93"/>
      <c r="L342" s="149"/>
    </row>
    <row r="343" spans="1:12" s="228" customFormat="1" x14ac:dyDescent="0.25">
      <c r="A343" s="476"/>
      <c r="B343" s="273" t="s">
        <v>3261</v>
      </c>
      <c r="C343" s="274" t="s">
        <v>1954</v>
      </c>
      <c r="D343" s="274">
        <v>12</v>
      </c>
      <c r="E343" s="273">
        <v>69503820</v>
      </c>
      <c r="F343" s="273"/>
      <c r="G343" s="91" t="s">
        <v>1956</v>
      </c>
      <c r="H343" s="274">
        <v>12</v>
      </c>
      <c r="I343" s="273">
        <v>128373008</v>
      </c>
      <c r="J343" s="92"/>
      <c r="K343" s="93"/>
      <c r="L343" s="149"/>
    </row>
    <row r="344" spans="1:12" s="228" customFormat="1" x14ac:dyDescent="0.25">
      <c r="A344" s="476"/>
      <c r="B344" s="273" t="s">
        <v>3261</v>
      </c>
      <c r="C344" s="274" t="s">
        <v>1960</v>
      </c>
      <c r="D344" s="274">
        <v>12</v>
      </c>
      <c r="E344" s="273">
        <v>69534367</v>
      </c>
      <c r="F344" s="273"/>
      <c r="G344" s="91" t="s">
        <v>1956</v>
      </c>
      <c r="H344" s="274">
        <v>12</v>
      </c>
      <c r="I344" s="273">
        <v>69614161</v>
      </c>
      <c r="J344" s="92"/>
      <c r="K344" s="93"/>
      <c r="L344" s="149"/>
    </row>
    <row r="345" spans="1:12" s="228" customFormat="1" x14ac:dyDescent="0.25">
      <c r="A345" s="476"/>
      <c r="B345" s="273" t="s">
        <v>3261</v>
      </c>
      <c r="C345" s="274" t="s">
        <v>1964</v>
      </c>
      <c r="D345" s="274">
        <v>12</v>
      </c>
      <c r="E345" s="273">
        <v>69548098</v>
      </c>
      <c r="F345" s="273"/>
      <c r="G345" s="91" t="s">
        <v>1956</v>
      </c>
      <c r="H345" s="274">
        <v>12</v>
      </c>
      <c r="I345" s="273">
        <v>70034638</v>
      </c>
      <c r="J345" s="92"/>
      <c r="K345" s="93"/>
      <c r="L345" s="149"/>
    </row>
    <row r="346" spans="1:12" s="228" customFormat="1" x14ac:dyDescent="0.25">
      <c r="A346" s="476"/>
      <c r="B346" s="273" t="s">
        <v>3261</v>
      </c>
      <c r="C346" s="274" t="s">
        <v>1964</v>
      </c>
      <c r="D346" s="274">
        <v>12</v>
      </c>
      <c r="E346" s="273">
        <v>69575082</v>
      </c>
      <c r="F346" s="273"/>
      <c r="G346" s="91" t="s">
        <v>1956</v>
      </c>
      <c r="H346" s="274">
        <v>12</v>
      </c>
      <c r="I346" s="273">
        <v>70381104</v>
      </c>
      <c r="J346" s="92"/>
      <c r="K346" s="93"/>
      <c r="L346" s="149"/>
    </row>
    <row r="347" spans="1:12" s="228" customFormat="1" x14ac:dyDescent="0.25">
      <c r="A347" s="476"/>
      <c r="B347" s="273" t="s">
        <v>3261</v>
      </c>
      <c r="C347" s="274" t="s">
        <v>1964</v>
      </c>
      <c r="D347" s="274">
        <v>12</v>
      </c>
      <c r="E347" s="273">
        <v>69580472</v>
      </c>
      <c r="F347" s="273"/>
      <c r="G347" s="91" t="s">
        <v>1956</v>
      </c>
      <c r="H347" s="274">
        <v>12</v>
      </c>
      <c r="I347" s="273">
        <v>128684625</v>
      </c>
      <c r="J347" s="92"/>
      <c r="K347" s="93"/>
      <c r="L347" s="149"/>
    </row>
    <row r="348" spans="1:12" s="228" customFormat="1" x14ac:dyDescent="0.25">
      <c r="A348" s="476"/>
      <c r="B348" s="273" t="s">
        <v>3261</v>
      </c>
      <c r="C348" s="274" t="s">
        <v>1954</v>
      </c>
      <c r="D348" s="274">
        <v>12</v>
      </c>
      <c r="E348" s="273">
        <v>69602801</v>
      </c>
      <c r="F348" s="273"/>
      <c r="G348" s="91" t="s">
        <v>1956</v>
      </c>
      <c r="H348" s="274">
        <v>12</v>
      </c>
      <c r="I348" s="273">
        <v>70375226</v>
      </c>
      <c r="J348" s="92"/>
      <c r="K348" s="93"/>
      <c r="L348" s="149"/>
    </row>
    <row r="349" spans="1:12" s="228" customFormat="1" x14ac:dyDescent="0.25">
      <c r="A349" s="476"/>
      <c r="B349" s="273" t="s">
        <v>3261</v>
      </c>
      <c r="C349" s="274" t="s">
        <v>1964</v>
      </c>
      <c r="D349" s="274">
        <v>12</v>
      </c>
      <c r="E349" s="273">
        <v>69610102</v>
      </c>
      <c r="F349" s="273"/>
      <c r="G349" s="91" t="s">
        <v>1956</v>
      </c>
      <c r="H349" s="274">
        <v>12</v>
      </c>
      <c r="I349" s="273">
        <v>69641041</v>
      </c>
      <c r="J349" s="92"/>
      <c r="K349" s="93"/>
      <c r="L349" s="149"/>
    </row>
    <row r="350" spans="1:12" s="228" customFormat="1" x14ac:dyDescent="0.25">
      <c r="A350" s="476"/>
      <c r="B350" s="273" t="s">
        <v>3261</v>
      </c>
      <c r="C350" s="274" t="s">
        <v>1954</v>
      </c>
      <c r="D350" s="274">
        <v>12</v>
      </c>
      <c r="E350" s="273">
        <v>69741663</v>
      </c>
      <c r="F350" s="273"/>
      <c r="G350" s="91" t="s">
        <v>1956</v>
      </c>
      <c r="H350" s="274">
        <v>12</v>
      </c>
      <c r="I350" s="273">
        <v>128515252</v>
      </c>
      <c r="J350" s="92"/>
      <c r="K350" s="93"/>
      <c r="L350" s="149"/>
    </row>
    <row r="351" spans="1:12" s="228" customFormat="1" x14ac:dyDescent="0.25">
      <c r="A351" s="476"/>
      <c r="B351" s="273" t="s">
        <v>3261</v>
      </c>
      <c r="C351" s="274" t="s">
        <v>1964</v>
      </c>
      <c r="D351" s="274">
        <v>12</v>
      </c>
      <c r="E351" s="273">
        <v>69751938</v>
      </c>
      <c r="F351" s="273"/>
      <c r="G351" s="91" t="s">
        <v>1956</v>
      </c>
      <c r="H351" s="274">
        <v>12</v>
      </c>
      <c r="I351" s="273">
        <v>69996515</v>
      </c>
      <c r="J351" s="92"/>
      <c r="K351" s="93"/>
      <c r="L351" s="149"/>
    </row>
    <row r="352" spans="1:12" s="228" customFormat="1" x14ac:dyDescent="0.25">
      <c r="A352" s="476"/>
      <c r="B352" s="273" t="s">
        <v>3261</v>
      </c>
      <c r="C352" s="274" t="s">
        <v>1964</v>
      </c>
      <c r="D352" s="274">
        <v>12</v>
      </c>
      <c r="E352" s="273">
        <v>69775784</v>
      </c>
      <c r="F352" s="273"/>
      <c r="G352" s="91" t="s">
        <v>1956</v>
      </c>
      <c r="H352" s="274">
        <v>12</v>
      </c>
      <c r="I352" s="273">
        <v>71138714</v>
      </c>
      <c r="J352" s="92"/>
      <c r="K352" s="93"/>
      <c r="L352" s="149"/>
    </row>
    <row r="353" spans="1:12" s="228" customFormat="1" x14ac:dyDescent="0.25">
      <c r="A353" s="476"/>
      <c r="B353" s="273" t="s">
        <v>3261</v>
      </c>
      <c r="C353" s="274" t="s">
        <v>1964</v>
      </c>
      <c r="D353" s="274">
        <v>12</v>
      </c>
      <c r="E353" s="273">
        <v>70338425</v>
      </c>
      <c r="F353" s="273"/>
      <c r="G353" s="91" t="s">
        <v>1956</v>
      </c>
      <c r="H353" s="274">
        <v>12</v>
      </c>
      <c r="I353" s="273">
        <v>128220918</v>
      </c>
      <c r="J353" s="92"/>
      <c r="K353" s="93"/>
      <c r="L353" s="149"/>
    </row>
    <row r="354" spans="1:12" s="228" customFormat="1" x14ac:dyDescent="0.25">
      <c r="A354" s="476"/>
      <c r="B354" s="273" t="s">
        <v>3261</v>
      </c>
      <c r="C354" s="274" t="s">
        <v>1954</v>
      </c>
      <c r="D354" s="274">
        <v>12</v>
      </c>
      <c r="E354" s="273">
        <v>70637797</v>
      </c>
      <c r="F354" s="273"/>
      <c r="G354" s="91" t="s">
        <v>1956</v>
      </c>
      <c r="H354" s="274">
        <v>12</v>
      </c>
      <c r="I354" s="273">
        <v>128570274</v>
      </c>
      <c r="J354" s="92"/>
      <c r="K354" s="93"/>
      <c r="L354" s="149"/>
    </row>
    <row r="355" spans="1:12" s="228" customFormat="1" x14ac:dyDescent="0.25">
      <c r="A355" s="476"/>
      <c r="B355" s="273" t="s">
        <v>3261</v>
      </c>
      <c r="C355" s="274" t="s">
        <v>1964</v>
      </c>
      <c r="D355" s="274">
        <v>12</v>
      </c>
      <c r="E355" s="273">
        <v>128017684</v>
      </c>
      <c r="F355" s="273"/>
      <c r="G355" s="91" t="s">
        <v>1956</v>
      </c>
      <c r="H355" s="274">
        <v>12</v>
      </c>
      <c r="I355" s="273">
        <v>128872639</v>
      </c>
      <c r="J355" s="92"/>
      <c r="K355" s="93"/>
      <c r="L355" s="149"/>
    </row>
    <row r="356" spans="1:12" s="228" customFormat="1" x14ac:dyDescent="0.25">
      <c r="A356" s="476"/>
      <c r="B356" s="273" t="s">
        <v>3261</v>
      </c>
      <c r="C356" s="274" t="s">
        <v>1960</v>
      </c>
      <c r="D356" s="274">
        <v>12</v>
      </c>
      <c r="E356" s="273">
        <v>128171313</v>
      </c>
      <c r="F356" s="273"/>
      <c r="G356" s="91" t="s">
        <v>1956</v>
      </c>
      <c r="H356" s="274">
        <v>12</v>
      </c>
      <c r="I356" s="273">
        <v>128635234</v>
      </c>
      <c r="J356" s="92"/>
      <c r="K356" s="93"/>
      <c r="L356" s="149"/>
    </row>
    <row r="357" spans="1:12" s="228" customFormat="1" x14ac:dyDescent="0.25">
      <c r="A357" s="476"/>
      <c r="B357" s="273" t="s">
        <v>3261</v>
      </c>
      <c r="C357" s="274" t="s">
        <v>1960</v>
      </c>
      <c r="D357" s="274">
        <v>12</v>
      </c>
      <c r="E357" s="273">
        <v>128514843</v>
      </c>
      <c r="F357" s="273"/>
      <c r="G357" s="91" t="s">
        <v>1956</v>
      </c>
      <c r="H357" s="274">
        <v>12</v>
      </c>
      <c r="I357" s="273">
        <v>128688662</v>
      </c>
      <c r="J357" s="92"/>
      <c r="K357" s="93"/>
      <c r="L357" s="149"/>
    </row>
    <row r="358" spans="1:12" x14ac:dyDescent="0.25">
      <c r="A358" s="476"/>
      <c r="B358" s="96" t="s">
        <v>22</v>
      </c>
      <c r="C358" s="91" t="s">
        <v>1954</v>
      </c>
      <c r="D358" s="91">
        <v>13</v>
      </c>
      <c r="E358" s="92">
        <v>38793847</v>
      </c>
      <c r="F358" s="90" t="s">
        <v>2427</v>
      </c>
      <c r="G358" s="91" t="s">
        <v>1956</v>
      </c>
      <c r="H358" s="91">
        <v>13</v>
      </c>
      <c r="I358" s="92">
        <v>38827686</v>
      </c>
      <c r="J358" s="90" t="s">
        <v>2427</v>
      </c>
      <c r="K358" s="207"/>
    </row>
    <row r="359" spans="1:12" x14ac:dyDescent="0.25">
      <c r="A359" s="476"/>
      <c r="B359" s="96" t="s">
        <v>22</v>
      </c>
      <c r="C359" s="91" t="s">
        <v>1954</v>
      </c>
      <c r="D359" s="91">
        <v>15</v>
      </c>
      <c r="E359" s="92">
        <v>56897980</v>
      </c>
      <c r="F359" s="90" t="s">
        <v>2428</v>
      </c>
      <c r="G359" s="91" t="s">
        <v>1956</v>
      </c>
      <c r="H359" s="91">
        <v>15</v>
      </c>
      <c r="I359" s="92">
        <v>56996195</v>
      </c>
      <c r="J359" s="96" t="s">
        <v>2429</v>
      </c>
      <c r="K359" s="207" t="s">
        <v>2430</v>
      </c>
    </row>
    <row r="360" spans="1:12" x14ac:dyDescent="0.25">
      <c r="A360" s="476"/>
      <c r="B360" s="96" t="s">
        <v>22</v>
      </c>
      <c r="C360" s="91" t="s">
        <v>1975</v>
      </c>
      <c r="D360" s="91">
        <v>17</v>
      </c>
      <c r="E360" s="92">
        <v>8236300</v>
      </c>
      <c r="F360" s="90" t="s">
        <v>2431</v>
      </c>
      <c r="G360" s="91" t="s">
        <v>1956</v>
      </c>
      <c r="H360" s="91">
        <v>21</v>
      </c>
      <c r="I360" s="92">
        <v>22879954</v>
      </c>
      <c r="J360" s="90" t="s">
        <v>2432</v>
      </c>
      <c r="K360" s="207" t="s">
        <v>2433</v>
      </c>
    </row>
    <row r="361" spans="1:12" x14ac:dyDescent="0.25">
      <c r="A361" s="476"/>
      <c r="B361" s="96" t="s">
        <v>22</v>
      </c>
      <c r="C361" s="91" t="s">
        <v>1954</v>
      </c>
      <c r="D361" s="91">
        <v>17</v>
      </c>
      <c r="E361" s="92">
        <v>63073469</v>
      </c>
      <c r="F361" s="90" t="s">
        <v>2434</v>
      </c>
      <c r="G361" s="91" t="s">
        <v>1956</v>
      </c>
      <c r="H361" s="91">
        <v>17</v>
      </c>
      <c r="I361" s="92">
        <v>63408388</v>
      </c>
      <c r="J361" s="96" t="s">
        <v>2435</v>
      </c>
      <c r="K361" s="207" t="s">
        <v>2436</v>
      </c>
    </row>
    <row r="362" spans="1:12" x14ac:dyDescent="0.25">
      <c r="A362" s="476"/>
      <c r="B362" s="96" t="s">
        <v>22</v>
      </c>
      <c r="C362" s="91" t="s">
        <v>1954</v>
      </c>
      <c r="D362" s="91">
        <v>18</v>
      </c>
      <c r="E362" s="92">
        <v>2110154</v>
      </c>
      <c r="F362" s="90" t="s">
        <v>2437</v>
      </c>
      <c r="G362" s="91" t="s">
        <v>1956</v>
      </c>
      <c r="H362" s="91">
        <v>18</v>
      </c>
      <c r="I362" s="92">
        <v>2111224</v>
      </c>
      <c r="J362" s="90" t="s">
        <v>2437</v>
      </c>
      <c r="K362" s="207"/>
    </row>
    <row r="363" spans="1:12" x14ac:dyDescent="0.25">
      <c r="A363" s="476"/>
      <c r="B363" s="96" t="s">
        <v>22</v>
      </c>
      <c r="C363" s="91" t="s">
        <v>1954</v>
      </c>
      <c r="D363" s="91">
        <v>18</v>
      </c>
      <c r="E363" s="92">
        <v>2267712</v>
      </c>
      <c r="F363" s="90" t="s">
        <v>2437</v>
      </c>
      <c r="G363" s="91" t="s">
        <v>1956</v>
      </c>
      <c r="H363" s="91">
        <v>18</v>
      </c>
      <c r="I363" s="92">
        <v>2869272</v>
      </c>
      <c r="J363" s="96" t="s">
        <v>2438</v>
      </c>
      <c r="K363" s="207" t="s">
        <v>2439</v>
      </c>
    </row>
    <row r="364" spans="1:12" x14ac:dyDescent="0.25">
      <c r="A364" s="476"/>
      <c r="B364" s="96" t="s">
        <v>22</v>
      </c>
      <c r="C364" s="91" t="s">
        <v>1964</v>
      </c>
      <c r="D364" s="91">
        <v>18</v>
      </c>
      <c r="E364" s="92">
        <v>2267955</v>
      </c>
      <c r="F364" s="90" t="s">
        <v>2437</v>
      </c>
      <c r="G364" s="91" t="s">
        <v>1956</v>
      </c>
      <c r="H364" s="91">
        <v>18</v>
      </c>
      <c r="I364" s="92">
        <v>3701654</v>
      </c>
      <c r="J364" s="96" t="s">
        <v>2390</v>
      </c>
      <c r="K364" s="207" t="s">
        <v>344</v>
      </c>
    </row>
    <row r="365" spans="1:12" x14ac:dyDescent="0.25">
      <c r="A365" s="476"/>
      <c r="B365" s="96" t="s">
        <v>22</v>
      </c>
      <c r="C365" s="91" t="s">
        <v>1954</v>
      </c>
      <c r="D365" s="91">
        <v>18</v>
      </c>
      <c r="E365" s="92">
        <v>2869048</v>
      </c>
      <c r="F365" s="96" t="s">
        <v>2440</v>
      </c>
      <c r="G365" s="91" t="s">
        <v>1956</v>
      </c>
      <c r="H365" s="91">
        <v>18</v>
      </c>
      <c r="I365" s="92">
        <v>3702403</v>
      </c>
      <c r="J365" s="96" t="s">
        <v>2390</v>
      </c>
      <c r="K365" s="207" t="s">
        <v>2441</v>
      </c>
    </row>
    <row r="366" spans="1:12" x14ac:dyDescent="0.25">
      <c r="A366" s="476"/>
      <c r="B366" s="96" t="s">
        <v>22</v>
      </c>
      <c r="C366" s="91" t="s">
        <v>1964</v>
      </c>
      <c r="D366" s="91">
        <v>18</v>
      </c>
      <c r="E366" s="92">
        <v>2925975</v>
      </c>
      <c r="F366" s="90" t="s">
        <v>2442</v>
      </c>
      <c r="G366" s="91" t="s">
        <v>1956</v>
      </c>
      <c r="H366" s="91">
        <v>18</v>
      </c>
      <c r="I366" s="92">
        <v>3382747</v>
      </c>
      <c r="J366" s="96" t="s">
        <v>2443</v>
      </c>
      <c r="K366" s="207" t="s">
        <v>2444</v>
      </c>
    </row>
    <row r="367" spans="1:12" x14ac:dyDescent="0.25">
      <c r="A367" s="476"/>
      <c r="B367" s="96" t="s">
        <v>22</v>
      </c>
      <c r="C367" s="91" t="s">
        <v>1964</v>
      </c>
      <c r="D367" s="91">
        <v>18</v>
      </c>
      <c r="E367" s="92">
        <v>7752666</v>
      </c>
      <c r="F367" s="90" t="s">
        <v>2445</v>
      </c>
      <c r="G367" s="91" t="s">
        <v>1956</v>
      </c>
      <c r="H367" s="91">
        <v>18</v>
      </c>
      <c r="I367" s="92">
        <v>7765688</v>
      </c>
      <c r="J367" s="90" t="s">
        <v>2445</v>
      </c>
      <c r="K367" s="207" t="s">
        <v>2446</v>
      </c>
    </row>
    <row r="368" spans="1:12" x14ac:dyDescent="0.25">
      <c r="A368" s="476"/>
      <c r="B368" s="96" t="s">
        <v>22</v>
      </c>
      <c r="C368" s="91" t="s">
        <v>1954</v>
      </c>
      <c r="D368" s="91">
        <v>18</v>
      </c>
      <c r="E368" s="92">
        <v>7765460</v>
      </c>
      <c r="F368" s="90" t="s">
        <v>2445</v>
      </c>
      <c r="G368" s="91" t="s">
        <v>1956</v>
      </c>
      <c r="H368" s="91">
        <v>18</v>
      </c>
      <c r="I368" s="92">
        <v>7785904</v>
      </c>
      <c r="J368" s="90" t="s">
        <v>2445</v>
      </c>
      <c r="K368" s="207" t="s">
        <v>2446</v>
      </c>
    </row>
    <row r="369" spans="1:11" x14ac:dyDescent="0.25">
      <c r="A369" s="476"/>
      <c r="B369" s="96" t="s">
        <v>22</v>
      </c>
      <c r="C369" s="91" t="s">
        <v>1954</v>
      </c>
      <c r="D369" s="91">
        <v>18</v>
      </c>
      <c r="E369" s="92">
        <v>7785560</v>
      </c>
      <c r="F369" s="90" t="s">
        <v>2445</v>
      </c>
      <c r="G369" s="91" t="s">
        <v>1956</v>
      </c>
      <c r="H369" s="91">
        <v>18</v>
      </c>
      <c r="I369" s="92">
        <v>7785951</v>
      </c>
      <c r="J369" s="90" t="s">
        <v>2445</v>
      </c>
      <c r="K369" s="207" t="s">
        <v>2446</v>
      </c>
    </row>
    <row r="370" spans="1:11" x14ac:dyDescent="0.25">
      <c r="A370" s="476"/>
      <c r="B370" s="96" t="s">
        <v>22</v>
      </c>
      <c r="C370" s="91" t="s">
        <v>1964</v>
      </c>
      <c r="D370" s="91">
        <v>21</v>
      </c>
      <c r="E370" s="92">
        <v>19481080</v>
      </c>
      <c r="F370" s="90" t="s">
        <v>2447</v>
      </c>
      <c r="G370" s="91" t="s">
        <v>1956</v>
      </c>
      <c r="H370" s="91">
        <v>21</v>
      </c>
      <c r="I370" s="92">
        <v>22053813</v>
      </c>
      <c r="J370" s="90" t="s">
        <v>2448</v>
      </c>
      <c r="K370" s="207" t="s">
        <v>799</v>
      </c>
    </row>
    <row r="371" spans="1:11" x14ac:dyDescent="0.25">
      <c r="A371" s="476"/>
      <c r="B371" s="96" t="s">
        <v>22</v>
      </c>
      <c r="C371" s="91" t="s">
        <v>1954</v>
      </c>
      <c r="D371" s="91">
        <v>21</v>
      </c>
      <c r="E371" s="92">
        <v>19603147</v>
      </c>
      <c r="F371" s="90" t="s">
        <v>2447</v>
      </c>
      <c r="G371" s="91" t="s">
        <v>1956</v>
      </c>
      <c r="H371" s="91">
        <v>21</v>
      </c>
      <c r="I371" s="92">
        <v>21685789</v>
      </c>
      <c r="J371" s="90" t="s">
        <v>2448</v>
      </c>
      <c r="K371" s="207" t="s">
        <v>799</v>
      </c>
    </row>
    <row r="372" spans="1:11" x14ac:dyDescent="0.25">
      <c r="A372" s="476"/>
      <c r="B372" s="96" t="s">
        <v>22</v>
      </c>
      <c r="C372" s="91" t="s">
        <v>1960</v>
      </c>
      <c r="D372" s="91">
        <v>21</v>
      </c>
      <c r="E372" s="92">
        <v>19603571</v>
      </c>
      <c r="F372" s="90" t="s">
        <v>2447</v>
      </c>
      <c r="G372" s="91" t="s">
        <v>1956</v>
      </c>
      <c r="H372" s="91">
        <v>21</v>
      </c>
      <c r="I372" s="92">
        <v>21685154</v>
      </c>
      <c r="J372" s="90" t="s">
        <v>2448</v>
      </c>
      <c r="K372" s="207" t="s">
        <v>799</v>
      </c>
    </row>
    <row r="373" spans="1:11" x14ac:dyDescent="0.25">
      <c r="A373" s="476"/>
      <c r="B373" s="96" t="s">
        <v>22</v>
      </c>
      <c r="C373" s="91" t="s">
        <v>1964</v>
      </c>
      <c r="D373" s="91">
        <v>21</v>
      </c>
      <c r="E373" s="92">
        <v>19663643</v>
      </c>
      <c r="F373" s="90" t="s">
        <v>2449</v>
      </c>
      <c r="G373" s="91" t="s">
        <v>1956</v>
      </c>
      <c r="H373" s="91">
        <v>21</v>
      </c>
      <c r="I373" s="92">
        <v>21263364</v>
      </c>
      <c r="J373" s="90" t="s">
        <v>2448</v>
      </c>
      <c r="K373" s="207" t="s">
        <v>2450</v>
      </c>
    </row>
    <row r="374" spans="1:11" x14ac:dyDescent="0.25">
      <c r="A374" s="476"/>
      <c r="B374" s="96" t="s">
        <v>22</v>
      </c>
      <c r="C374" s="91" t="s">
        <v>1964</v>
      </c>
      <c r="D374" s="91">
        <v>21</v>
      </c>
      <c r="E374" s="92">
        <v>19769577</v>
      </c>
      <c r="F374" s="90" t="s">
        <v>2449</v>
      </c>
      <c r="G374" s="91" t="s">
        <v>1956</v>
      </c>
      <c r="H374" s="91">
        <v>21</v>
      </c>
      <c r="I374" s="92">
        <v>28735130</v>
      </c>
      <c r="J374" s="90" t="s">
        <v>2448</v>
      </c>
      <c r="K374" s="207" t="s">
        <v>2450</v>
      </c>
    </row>
    <row r="375" spans="1:11" x14ac:dyDescent="0.25">
      <c r="A375" s="476"/>
      <c r="B375" s="96" t="s">
        <v>22</v>
      </c>
      <c r="C375" s="91" t="s">
        <v>1960</v>
      </c>
      <c r="D375" s="91">
        <v>21</v>
      </c>
      <c r="E375" s="92">
        <v>21017145</v>
      </c>
      <c r="F375" s="90" t="s">
        <v>2448</v>
      </c>
      <c r="G375" s="91" t="s">
        <v>1956</v>
      </c>
      <c r="H375" s="91">
        <v>21</v>
      </c>
      <c r="I375" s="92">
        <v>21123699</v>
      </c>
      <c r="J375" s="90" t="s">
        <v>2448</v>
      </c>
      <c r="K375" s="207"/>
    </row>
    <row r="376" spans="1:11" x14ac:dyDescent="0.25">
      <c r="A376" s="476"/>
      <c r="B376" s="96" t="s">
        <v>22</v>
      </c>
      <c r="C376" s="91" t="s">
        <v>1954</v>
      </c>
      <c r="D376" s="91">
        <v>21</v>
      </c>
      <c r="E376" s="92">
        <v>21122772</v>
      </c>
      <c r="F376" s="90" t="s">
        <v>2448</v>
      </c>
      <c r="G376" s="91" t="s">
        <v>1956</v>
      </c>
      <c r="H376" s="91">
        <v>21</v>
      </c>
      <c r="I376" s="92">
        <v>21257427</v>
      </c>
      <c r="J376" s="90" t="s">
        <v>2448</v>
      </c>
      <c r="K376" s="207"/>
    </row>
    <row r="377" spans="1:11" x14ac:dyDescent="0.25">
      <c r="A377" s="476"/>
      <c r="B377" s="96" t="s">
        <v>22</v>
      </c>
      <c r="C377" s="91" t="s">
        <v>1960</v>
      </c>
      <c r="D377" s="91">
        <v>21</v>
      </c>
      <c r="E377" s="92">
        <v>21122994</v>
      </c>
      <c r="F377" s="90" t="s">
        <v>2448</v>
      </c>
      <c r="G377" s="91" t="s">
        <v>1956</v>
      </c>
      <c r="H377" s="91">
        <v>21</v>
      </c>
      <c r="I377" s="92">
        <v>22050273</v>
      </c>
      <c r="J377" s="90" t="s">
        <v>2448</v>
      </c>
      <c r="K377" s="207"/>
    </row>
    <row r="378" spans="1:11" x14ac:dyDescent="0.25">
      <c r="A378" s="476"/>
      <c r="B378" s="96" t="s">
        <v>22</v>
      </c>
      <c r="C378" s="91" t="s">
        <v>1964</v>
      </c>
      <c r="D378" s="91">
        <v>21</v>
      </c>
      <c r="E378" s="92">
        <v>21123547</v>
      </c>
      <c r="F378" s="90" t="s">
        <v>2448</v>
      </c>
      <c r="G378" s="91" t="s">
        <v>1956</v>
      </c>
      <c r="H378" s="91">
        <v>21</v>
      </c>
      <c r="I378" s="92">
        <v>21608655</v>
      </c>
      <c r="J378" s="90" t="s">
        <v>2448</v>
      </c>
      <c r="K378" s="207"/>
    </row>
    <row r="379" spans="1:11" x14ac:dyDescent="0.25">
      <c r="A379" s="476"/>
      <c r="B379" s="96" t="s">
        <v>22</v>
      </c>
      <c r="C379" s="91" t="s">
        <v>1954</v>
      </c>
      <c r="D379" s="91">
        <v>21</v>
      </c>
      <c r="E379" s="92">
        <v>21123595</v>
      </c>
      <c r="F379" s="90" t="s">
        <v>2448</v>
      </c>
      <c r="G379" s="91" t="s">
        <v>1956</v>
      </c>
      <c r="H379" s="91">
        <v>21</v>
      </c>
      <c r="I379" s="92">
        <v>22050633</v>
      </c>
      <c r="J379" s="90" t="s">
        <v>2448</v>
      </c>
      <c r="K379" s="207"/>
    </row>
    <row r="380" spans="1:11" x14ac:dyDescent="0.25">
      <c r="A380" s="476"/>
      <c r="B380" s="96" t="s">
        <v>22</v>
      </c>
      <c r="C380" s="91" t="s">
        <v>1964</v>
      </c>
      <c r="D380" s="91">
        <v>21</v>
      </c>
      <c r="E380" s="92">
        <v>21123689</v>
      </c>
      <c r="F380" s="90" t="s">
        <v>2448</v>
      </c>
      <c r="G380" s="91" t="s">
        <v>1956</v>
      </c>
      <c r="H380" s="91">
        <v>21</v>
      </c>
      <c r="I380" s="92">
        <v>22050912</v>
      </c>
      <c r="J380" s="90" t="s">
        <v>2448</v>
      </c>
      <c r="K380" s="207"/>
    </row>
    <row r="381" spans="1:11" x14ac:dyDescent="0.25">
      <c r="A381" s="476"/>
      <c r="B381" s="96" t="s">
        <v>22</v>
      </c>
      <c r="C381" s="91" t="s">
        <v>1960</v>
      </c>
      <c r="D381" s="91">
        <v>21</v>
      </c>
      <c r="E381" s="92">
        <v>21123862</v>
      </c>
      <c r="F381" s="90" t="s">
        <v>2448</v>
      </c>
      <c r="G381" s="91" t="s">
        <v>1956</v>
      </c>
      <c r="H381" s="91">
        <v>21</v>
      </c>
      <c r="I381" s="92">
        <v>22050247</v>
      </c>
      <c r="J381" s="90" t="s">
        <v>2448</v>
      </c>
      <c r="K381" s="207"/>
    </row>
    <row r="382" spans="1:11" x14ac:dyDescent="0.25">
      <c r="A382" s="476"/>
      <c r="B382" s="96" t="s">
        <v>22</v>
      </c>
      <c r="C382" s="91" t="s">
        <v>1960</v>
      </c>
      <c r="D382" s="91">
        <v>21</v>
      </c>
      <c r="E382" s="92">
        <v>21124037</v>
      </c>
      <c r="F382" s="90" t="s">
        <v>2448</v>
      </c>
      <c r="G382" s="91" t="s">
        <v>1956</v>
      </c>
      <c r="H382" s="91">
        <v>21</v>
      </c>
      <c r="I382" s="92">
        <v>28781944</v>
      </c>
      <c r="J382" s="90" t="s">
        <v>2448</v>
      </c>
      <c r="K382" s="207"/>
    </row>
    <row r="383" spans="1:11" x14ac:dyDescent="0.25">
      <c r="A383" s="476"/>
      <c r="B383" s="96" t="s">
        <v>22</v>
      </c>
      <c r="C383" s="91" t="s">
        <v>1964</v>
      </c>
      <c r="D383" s="91">
        <v>21</v>
      </c>
      <c r="E383" s="92">
        <v>21340062</v>
      </c>
      <c r="F383" s="90" t="s">
        <v>2448</v>
      </c>
      <c r="G383" s="91" t="s">
        <v>1956</v>
      </c>
      <c r="H383" s="91">
        <v>21</v>
      </c>
      <c r="I383" s="92">
        <v>21684752</v>
      </c>
      <c r="J383" s="90" t="s">
        <v>2448</v>
      </c>
      <c r="K383" s="207"/>
    </row>
    <row r="384" spans="1:11" x14ac:dyDescent="0.25">
      <c r="A384" s="476"/>
      <c r="B384" s="96" t="s">
        <v>22</v>
      </c>
      <c r="C384" s="91" t="s">
        <v>1964</v>
      </c>
      <c r="D384" s="91">
        <v>21</v>
      </c>
      <c r="E384" s="92">
        <v>21364395</v>
      </c>
      <c r="F384" s="90" t="s">
        <v>2448</v>
      </c>
      <c r="G384" s="91" t="s">
        <v>1956</v>
      </c>
      <c r="H384" s="91">
        <v>21</v>
      </c>
      <c r="I384" s="92">
        <v>21685420</v>
      </c>
      <c r="J384" s="90" t="s">
        <v>2448</v>
      </c>
      <c r="K384" s="207"/>
    </row>
    <row r="385" spans="1:11" x14ac:dyDescent="0.25">
      <c r="A385" s="476"/>
      <c r="B385" s="96" t="s">
        <v>22</v>
      </c>
      <c r="C385" s="91" t="s">
        <v>1954</v>
      </c>
      <c r="D385" s="91">
        <v>21</v>
      </c>
      <c r="E385" s="92">
        <v>21364588</v>
      </c>
      <c r="F385" s="90" t="s">
        <v>2448</v>
      </c>
      <c r="G385" s="91" t="s">
        <v>1956</v>
      </c>
      <c r="H385" s="91">
        <v>21</v>
      </c>
      <c r="I385" s="92">
        <v>21685811</v>
      </c>
      <c r="J385" s="90" t="s">
        <v>2448</v>
      </c>
      <c r="K385" s="207"/>
    </row>
    <row r="386" spans="1:11" x14ac:dyDescent="0.25">
      <c r="A386" s="476"/>
      <c r="B386" s="96" t="s">
        <v>22</v>
      </c>
      <c r="C386" s="91" t="s">
        <v>1964</v>
      </c>
      <c r="D386" s="91">
        <v>21</v>
      </c>
      <c r="E386" s="92">
        <v>21364963</v>
      </c>
      <c r="F386" s="90" t="s">
        <v>2448</v>
      </c>
      <c r="G386" s="91" t="s">
        <v>1956</v>
      </c>
      <c r="H386" s="91">
        <v>21</v>
      </c>
      <c r="I386" s="92">
        <v>22050380</v>
      </c>
      <c r="J386" s="90" t="s">
        <v>2448</v>
      </c>
      <c r="K386" s="207"/>
    </row>
    <row r="387" spans="1:11" x14ac:dyDescent="0.25">
      <c r="A387" s="476"/>
      <c r="B387" s="96" t="s">
        <v>22</v>
      </c>
      <c r="C387" s="91" t="s">
        <v>1964</v>
      </c>
      <c r="D387" s="91">
        <v>21</v>
      </c>
      <c r="E387" s="92">
        <v>21365056</v>
      </c>
      <c r="F387" s="90" t="s">
        <v>2448</v>
      </c>
      <c r="G387" s="91" t="s">
        <v>1956</v>
      </c>
      <c r="H387" s="91">
        <v>21</v>
      </c>
      <c r="I387" s="92">
        <v>21685560</v>
      </c>
      <c r="J387" s="90" t="s">
        <v>2448</v>
      </c>
      <c r="K387" s="207"/>
    </row>
    <row r="388" spans="1:11" x14ac:dyDescent="0.25">
      <c r="A388" s="476"/>
      <c r="B388" s="96" t="s">
        <v>22</v>
      </c>
      <c r="C388" s="91" t="s">
        <v>1964</v>
      </c>
      <c r="D388" s="91">
        <v>21</v>
      </c>
      <c r="E388" s="92">
        <v>21365070</v>
      </c>
      <c r="F388" s="90" t="s">
        <v>2448</v>
      </c>
      <c r="G388" s="91" t="s">
        <v>1956</v>
      </c>
      <c r="H388" s="91">
        <v>21</v>
      </c>
      <c r="I388" s="92">
        <v>22054305</v>
      </c>
      <c r="J388" s="90" t="s">
        <v>2448</v>
      </c>
      <c r="K388" s="207"/>
    </row>
    <row r="389" spans="1:11" x14ac:dyDescent="0.25">
      <c r="A389" s="476"/>
      <c r="B389" s="96" t="s">
        <v>22</v>
      </c>
      <c r="C389" s="91" t="s">
        <v>1964</v>
      </c>
      <c r="D389" s="91">
        <v>21</v>
      </c>
      <c r="E389" s="92">
        <v>21522544</v>
      </c>
      <c r="F389" s="90" t="s">
        <v>2448</v>
      </c>
      <c r="G389" s="91" t="s">
        <v>1956</v>
      </c>
      <c r="H389" s="91">
        <v>21</v>
      </c>
      <c r="I389" s="92">
        <v>22054092</v>
      </c>
      <c r="J389" s="90" t="s">
        <v>2448</v>
      </c>
      <c r="K389" s="207"/>
    </row>
    <row r="390" spans="1:11" x14ac:dyDescent="0.25">
      <c r="A390" s="476"/>
      <c r="B390" s="96" t="s">
        <v>22</v>
      </c>
      <c r="C390" s="91" t="s">
        <v>1954</v>
      </c>
      <c r="D390" s="91">
        <v>21</v>
      </c>
      <c r="E390" s="92">
        <v>21684744</v>
      </c>
      <c r="F390" s="90" t="s">
        <v>2448</v>
      </c>
      <c r="G390" s="91" t="s">
        <v>1956</v>
      </c>
      <c r="H390" s="91">
        <v>21</v>
      </c>
      <c r="I390" s="92">
        <v>22050933</v>
      </c>
      <c r="J390" s="90" t="s">
        <v>2448</v>
      </c>
      <c r="K390" s="207"/>
    </row>
    <row r="391" spans="1:11" x14ac:dyDescent="0.25">
      <c r="A391" s="476"/>
      <c r="B391" s="96" t="s">
        <v>22</v>
      </c>
      <c r="C391" s="91" t="s">
        <v>1964</v>
      </c>
      <c r="D391" s="91">
        <v>21</v>
      </c>
      <c r="E391" s="92">
        <v>21684763</v>
      </c>
      <c r="F391" s="90" t="s">
        <v>2448</v>
      </c>
      <c r="G391" s="91" t="s">
        <v>1956</v>
      </c>
      <c r="H391" s="91">
        <v>21</v>
      </c>
      <c r="I391" s="92">
        <v>22050077</v>
      </c>
      <c r="J391" s="90" t="s">
        <v>2448</v>
      </c>
      <c r="K391" s="207"/>
    </row>
    <row r="392" spans="1:11" x14ac:dyDescent="0.25">
      <c r="A392" s="476"/>
      <c r="B392" s="96" t="s">
        <v>22</v>
      </c>
      <c r="C392" s="91" t="s">
        <v>1954</v>
      </c>
      <c r="D392" s="91">
        <v>21</v>
      </c>
      <c r="E392" s="92">
        <v>21684960</v>
      </c>
      <c r="F392" s="90" t="s">
        <v>2448</v>
      </c>
      <c r="G392" s="91" t="s">
        <v>1956</v>
      </c>
      <c r="H392" s="91">
        <v>21</v>
      </c>
      <c r="I392" s="92">
        <v>28779921</v>
      </c>
      <c r="J392" s="90" t="s">
        <v>2448</v>
      </c>
      <c r="K392" s="207"/>
    </row>
    <row r="393" spans="1:11" x14ac:dyDescent="0.25">
      <c r="A393" s="476"/>
      <c r="B393" s="96" t="s">
        <v>22</v>
      </c>
      <c r="C393" s="91" t="s">
        <v>1964</v>
      </c>
      <c r="D393" s="91">
        <v>21</v>
      </c>
      <c r="E393" s="92">
        <v>21685150</v>
      </c>
      <c r="F393" s="90" t="s">
        <v>2448</v>
      </c>
      <c r="G393" s="91" t="s">
        <v>1956</v>
      </c>
      <c r="H393" s="91">
        <v>21</v>
      </c>
      <c r="I393" s="92">
        <v>22050513</v>
      </c>
      <c r="J393" s="90" t="s">
        <v>2448</v>
      </c>
      <c r="K393" s="207"/>
    </row>
    <row r="394" spans="1:11" x14ac:dyDescent="0.25">
      <c r="A394" s="476"/>
      <c r="B394" s="96" t="s">
        <v>22</v>
      </c>
      <c r="C394" s="91" t="s">
        <v>1964</v>
      </c>
      <c r="D394" s="91">
        <v>21</v>
      </c>
      <c r="E394" s="92">
        <v>21685202</v>
      </c>
      <c r="F394" s="90" t="s">
        <v>2448</v>
      </c>
      <c r="G394" s="91" t="s">
        <v>1956</v>
      </c>
      <c r="H394" s="91">
        <v>21</v>
      </c>
      <c r="I394" s="92">
        <v>22054305</v>
      </c>
      <c r="J394" s="90" t="s">
        <v>2448</v>
      </c>
      <c r="K394" s="207"/>
    </row>
    <row r="395" spans="1:11" x14ac:dyDescent="0.25">
      <c r="A395" s="476"/>
      <c r="B395" s="96" t="s">
        <v>22</v>
      </c>
      <c r="C395" s="91" t="s">
        <v>1964</v>
      </c>
      <c r="D395" s="91">
        <v>21</v>
      </c>
      <c r="E395" s="92">
        <v>21685565</v>
      </c>
      <c r="F395" s="90" t="s">
        <v>2448</v>
      </c>
      <c r="G395" s="91" t="s">
        <v>1956</v>
      </c>
      <c r="H395" s="91">
        <v>21</v>
      </c>
      <c r="I395" s="92">
        <v>22050324</v>
      </c>
      <c r="J395" s="90" t="s">
        <v>2448</v>
      </c>
      <c r="K395" s="207"/>
    </row>
    <row r="396" spans="1:11" x14ac:dyDescent="0.25">
      <c r="A396" s="476"/>
      <c r="B396" s="96" t="s">
        <v>22</v>
      </c>
      <c r="C396" s="91" t="s">
        <v>1960</v>
      </c>
      <c r="D396" s="91">
        <v>21</v>
      </c>
      <c r="E396" s="92">
        <v>21685572</v>
      </c>
      <c r="F396" s="90" t="s">
        <v>2448</v>
      </c>
      <c r="G396" s="91" t="s">
        <v>1956</v>
      </c>
      <c r="H396" s="91">
        <v>21</v>
      </c>
      <c r="I396" s="92">
        <v>22050434</v>
      </c>
      <c r="J396" s="90" t="s">
        <v>2448</v>
      </c>
      <c r="K396" s="207"/>
    </row>
    <row r="397" spans="1:11" x14ac:dyDescent="0.25">
      <c r="A397" s="476"/>
      <c r="B397" s="96" t="s">
        <v>22</v>
      </c>
      <c r="C397" s="91" t="s">
        <v>1964</v>
      </c>
      <c r="D397" s="91">
        <v>21</v>
      </c>
      <c r="E397" s="92">
        <v>21685576</v>
      </c>
      <c r="F397" s="90" t="s">
        <v>2448</v>
      </c>
      <c r="G397" s="91" t="s">
        <v>1956</v>
      </c>
      <c r="H397" s="91">
        <v>21</v>
      </c>
      <c r="I397" s="92">
        <v>22050318</v>
      </c>
      <c r="J397" s="90" t="s">
        <v>2448</v>
      </c>
      <c r="K397" s="207"/>
    </row>
    <row r="398" spans="1:11" x14ac:dyDescent="0.25">
      <c r="A398" s="476"/>
      <c r="B398" s="96" t="s">
        <v>22</v>
      </c>
      <c r="C398" s="91" t="s">
        <v>1960</v>
      </c>
      <c r="D398" s="91">
        <v>21</v>
      </c>
      <c r="E398" s="92">
        <v>21685590</v>
      </c>
      <c r="F398" s="90" t="s">
        <v>2448</v>
      </c>
      <c r="G398" s="91" t="s">
        <v>1956</v>
      </c>
      <c r="H398" s="91">
        <v>21</v>
      </c>
      <c r="I398" s="92">
        <v>28779453</v>
      </c>
      <c r="J398" s="90" t="s">
        <v>2451</v>
      </c>
      <c r="K398" s="207" t="s">
        <v>2452</v>
      </c>
    </row>
    <row r="399" spans="1:11" x14ac:dyDescent="0.25">
      <c r="A399" s="476"/>
      <c r="B399" s="96" t="s">
        <v>22</v>
      </c>
      <c r="C399" s="91" t="s">
        <v>1960</v>
      </c>
      <c r="D399" s="91">
        <v>21</v>
      </c>
      <c r="E399" s="92">
        <v>21685603</v>
      </c>
      <c r="F399" s="90" t="s">
        <v>2448</v>
      </c>
      <c r="G399" s="91" t="s">
        <v>1956</v>
      </c>
      <c r="H399" s="91">
        <v>21</v>
      </c>
      <c r="I399" s="92">
        <v>28778542</v>
      </c>
      <c r="J399" s="90" t="s">
        <v>2451</v>
      </c>
      <c r="K399" s="207" t="s">
        <v>2452</v>
      </c>
    </row>
    <row r="400" spans="1:11" x14ac:dyDescent="0.25">
      <c r="A400" s="476"/>
      <c r="B400" s="96" t="s">
        <v>22</v>
      </c>
      <c r="C400" s="91" t="s">
        <v>1954</v>
      </c>
      <c r="D400" s="91">
        <v>21</v>
      </c>
      <c r="E400" s="92">
        <v>22050040</v>
      </c>
      <c r="F400" s="90" t="s">
        <v>2448</v>
      </c>
      <c r="G400" s="91" t="s">
        <v>1956</v>
      </c>
      <c r="H400" s="91">
        <v>21</v>
      </c>
      <c r="I400" s="92">
        <v>22050633</v>
      </c>
      <c r="J400" s="90" t="s">
        <v>2448</v>
      </c>
      <c r="K400" s="207"/>
    </row>
    <row r="401" spans="1:11" x14ac:dyDescent="0.25">
      <c r="A401" s="476"/>
      <c r="B401" s="96" t="s">
        <v>22</v>
      </c>
      <c r="C401" s="91" t="s">
        <v>1954</v>
      </c>
      <c r="D401" s="91">
        <v>21</v>
      </c>
      <c r="E401" s="92">
        <v>22050486</v>
      </c>
      <c r="F401" s="90" t="s">
        <v>2448</v>
      </c>
      <c r="G401" s="91" t="s">
        <v>1956</v>
      </c>
      <c r="H401" s="91">
        <v>21</v>
      </c>
      <c r="I401" s="92">
        <v>22050488</v>
      </c>
      <c r="J401" s="90" t="s">
        <v>2448</v>
      </c>
      <c r="K401" s="207"/>
    </row>
    <row r="402" spans="1:11" x14ac:dyDescent="0.25">
      <c r="A402" s="476"/>
      <c r="B402" s="96" t="s">
        <v>22</v>
      </c>
      <c r="C402" s="91" t="s">
        <v>1960</v>
      </c>
      <c r="D402" s="91">
        <v>21</v>
      </c>
      <c r="E402" s="92">
        <v>28778751</v>
      </c>
      <c r="F402" s="90" t="s">
        <v>2451</v>
      </c>
      <c r="G402" s="91" t="s">
        <v>1956</v>
      </c>
      <c r="H402" s="91">
        <v>21</v>
      </c>
      <c r="I402" s="92">
        <v>28779434</v>
      </c>
      <c r="J402" s="90" t="s">
        <v>2451</v>
      </c>
      <c r="K402" s="207" t="s">
        <v>2452</v>
      </c>
    </row>
    <row r="403" spans="1:11" x14ac:dyDescent="0.25">
      <c r="A403" s="476"/>
      <c r="B403" s="96" t="s">
        <v>22</v>
      </c>
      <c r="C403" s="91" t="s">
        <v>1954</v>
      </c>
      <c r="D403" s="91">
        <v>21</v>
      </c>
      <c r="E403" s="92">
        <v>45347323</v>
      </c>
      <c r="F403" s="90" t="s">
        <v>2453</v>
      </c>
      <c r="G403" s="91" t="s">
        <v>1956</v>
      </c>
      <c r="H403" s="91">
        <v>21</v>
      </c>
      <c r="I403" s="92">
        <v>45354263</v>
      </c>
      <c r="J403" s="90" t="s">
        <v>2453</v>
      </c>
      <c r="K403" s="207" t="s">
        <v>2454</v>
      </c>
    </row>
    <row r="404" spans="1:11" x14ac:dyDescent="0.25">
      <c r="A404" s="476"/>
      <c r="B404" s="96" t="s">
        <v>22</v>
      </c>
      <c r="C404" s="91" t="s">
        <v>1954</v>
      </c>
      <c r="D404" s="91">
        <v>22</v>
      </c>
      <c r="E404" s="92">
        <v>24908347</v>
      </c>
      <c r="F404" s="90" t="s">
        <v>2455</v>
      </c>
      <c r="G404" s="91" t="s">
        <v>1956</v>
      </c>
      <c r="H404" s="91">
        <v>22</v>
      </c>
      <c r="I404" s="92">
        <v>25809118</v>
      </c>
      <c r="J404" s="96" t="s">
        <v>2456</v>
      </c>
      <c r="K404" s="207" t="s">
        <v>2457</v>
      </c>
    </row>
    <row r="405" spans="1:11" x14ac:dyDescent="0.25">
      <c r="A405" s="476"/>
      <c r="B405" s="96" t="s">
        <v>22</v>
      </c>
      <c r="C405" s="91" t="s">
        <v>1960</v>
      </c>
      <c r="D405" s="91">
        <v>22</v>
      </c>
      <c r="E405" s="92">
        <v>49214119</v>
      </c>
      <c r="F405" s="90" t="s">
        <v>2458</v>
      </c>
      <c r="G405" s="91" t="s">
        <v>1956</v>
      </c>
      <c r="H405" s="91">
        <v>22</v>
      </c>
      <c r="I405" s="92">
        <v>49214957</v>
      </c>
      <c r="J405" s="90" t="s">
        <v>2458</v>
      </c>
      <c r="K405" s="207"/>
    </row>
    <row r="406" spans="1:11" x14ac:dyDescent="0.25">
      <c r="A406" s="476"/>
      <c r="B406" s="96" t="s">
        <v>22</v>
      </c>
      <c r="C406" s="91" t="s">
        <v>1960</v>
      </c>
      <c r="D406" s="91">
        <v>22</v>
      </c>
      <c r="E406" s="92">
        <v>50360153</v>
      </c>
      <c r="F406" s="90" t="s">
        <v>2421</v>
      </c>
      <c r="G406" s="91" t="s">
        <v>1956</v>
      </c>
      <c r="H406" s="91">
        <v>22</v>
      </c>
      <c r="I406" s="92">
        <v>50363960</v>
      </c>
      <c r="J406" s="90" t="s">
        <v>2421</v>
      </c>
      <c r="K406" s="207"/>
    </row>
    <row r="407" spans="1:11" x14ac:dyDescent="0.25">
      <c r="A407" s="476"/>
      <c r="B407" s="110" t="s">
        <v>504</v>
      </c>
      <c r="C407" s="105" t="s">
        <v>1964</v>
      </c>
      <c r="D407" s="105">
        <v>1</v>
      </c>
      <c r="E407" s="106">
        <v>6447804</v>
      </c>
      <c r="F407" s="97" t="s">
        <v>2459</v>
      </c>
      <c r="G407" s="105" t="s">
        <v>1956</v>
      </c>
      <c r="H407" s="105">
        <v>1</v>
      </c>
      <c r="I407" s="106">
        <v>211122082</v>
      </c>
      <c r="J407" s="110" t="s">
        <v>2235</v>
      </c>
      <c r="K407" s="208" t="s">
        <v>2460</v>
      </c>
    </row>
    <row r="408" spans="1:11" x14ac:dyDescent="0.25">
      <c r="A408" s="476"/>
      <c r="B408" s="110" t="s">
        <v>504</v>
      </c>
      <c r="C408" s="105" t="s">
        <v>1954</v>
      </c>
      <c r="D408" s="105">
        <v>1</v>
      </c>
      <c r="E408" s="106">
        <v>160334283</v>
      </c>
      <c r="F408" s="97" t="s">
        <v>2461</v>
      </c>
      <c r="G408" s="105" t="s">
        <v>1956</v>
      </c>
      <c r="H408" s="105">
        <v>1</v>
      </c>
      <c r="I408" s="106">
        <v>211122059</v>
      </c>
      <c r="J408" s="110" t="s">
        <v>2235</v>
      </c>
      <c r="K408" s="208" t="s">
        <v>2462</v>
      </c>
    </row>
    <row r="409" spans="1:11" x14ac:dyDescent="0.25">
      <c r="A409" s="476"/>
      <c r="B409" s="110" t="s">
        <v>504</v>
      </c>
      <c r="C409" s="105" t="s">
        <v>1975</v>
      </c>
      <c r="D409" s="105">
        <v>1</v>
      </c>
      <c r="E409" s="106">
        <v>160334701</v>
      </c>
      <c r="F409" s="97" t="s">
        <v>2461</v>
      </c>
      <c r="G409" s="105" t="s">
        <v>1956</v>
      </c>
      <c r="H409" s="105">
        <v>5</v>
      </c>
      <c r="I409" s="106">
        <v>139815180</v>
      </c>
      <c r="J409" s="110" t="s">
        <v>2463</v>
      </c>
      <c r="K409" s="208" t="s">
        <v>2464</v>
      </c>
    </row>
    <row r="410" spans="1:11" x14ac:dyDescent="0.25">
      <c r="A410" s="476"/>
      <c r="B410" s="110" t="s">
        <v>504</v>
      </c>
      <c r="C410" s="105" t="s">
        <v>1954</v>
      </c>
      <c r="D410" s="105">
        <v>1</v>
      </c>
      <c r="E410" s="106">
        <v>165581191</v>
      </c>
      <c r="F410" s="97" t="s">
        <v>2465</v>
      </c>
      <c r="G410" s="105" t="s">
        <v>1956</v>
      </c>
      <c r="H410" s="105">
        <v>1</v>
      </c>
      <c r="I410" s="106">
        <v>165791638</v>
      </c>
      <c r="J410" s="110" t="s">
        <v>2466</v>
      </c>
      <c r="K410" s="208"/>
    </row>
    <row r="411" spans="1:11" x14ac:dyDescent="0.25">
      <c r="A411" s="476"/>
      <c r="B411" s="110" t="s">
        <v>504</v>
      </c>
      <c r="C411" s="105" t="s">
        <v>1975</v>
      </c>
      <c r="D411" s="105">
        <v>1</v>
      </c>
      <c r="E411" s="106">
        <v>211121661</v>
      </c>
      <c r="F411" s="110" t="s">
        <v>2235</v>
      </c>
      <c r="G411" s="105" t="s">
        <v>1956</v>
      </c>
      <c r="H411" s="105">
        <v>12</v>
      </c>
      <c r="I411" s="106">
        <v>59119657</v>
      </c>
      <c r="J411" s="97" t="s">
        <v>2467</v>
      </c>
      <c r="K411" s="208" t="s">
        <v>2468</v>
      </c>
    </row>
    <row r="412" spans="1:11" x14ac:dyDescent="0.25">
      <c r="A412" s="476"/>
      <c r="B412" s="110" t="s">
        <v>504</v>
      </c>
      <c r="C412" s="105" t="s">
        <v>1954</v>
      </c>
      <c r="D412" s="105">
        <v>2</v>
      </c>
      <c r="E412" s="106">
        <v>5886852</v>
      </c>
      <c r="F412" s="97" t="s">
        <v>2469</v>
      </c>
      <c r="G412" s="105" t="s">
        <v>1956</v>
      </c>
      <c r="H412" s="105">
        <v>2</v>
      </c>
      <c r="I412" s="106">
        <v>14147459</v>
      </c>
      <c r="J412" s="110" t="s">
        <v>2470</v>
      </c>
      <c r="K412" s="107"/>
    </row>
    <row r="413" spans="1:11" x14ac:dyDescent="0.25">
      <c r="A413" s="476"/>
      <c r="B413" s="110" t="s">
        <v>504</v>
      </c>
      <c r="C413" s="105" t="s">
        <v>1964</v>
      </c>
      <c r="D413" s="105">
        <v>2</v>
      </c>
      <c r="E413" s="106">
        <v>19676651</v>
      </c>
      <c r="F413" s="97" t="s">
        <v>2471</v>
      </c>
      <c r="G413" s="105" t="s">
        <v>1956</v>
      </c>
      <c r="H413" s="105">
        <v>2</v>
      </c>
      <c r="I413" s="106">
        <v>21531722</v>
      </c>
      <c r="J413" s="110" t="s">
        <v>2472</v>
      </c>
      <c r="K413" s="208"/>
    </row>
    <row r="414" spans="1:11" x14ac:dyDescent="0.25">
      <c r="A414" s="476"/>
      <c r="B414" s="110" t="s">
        <v>504</v>
      </c>
      <c r="C414" s="105" t="s">
        <v>1954</v>
      </c>
      <c r="D414" s="105">
        <v>3</v>
      </c>
      <c r="E414" s="106">
        <v>147669238</v>
      </c>
      <c r="F414" s="97" t="s">
        <v>2473</v>
      </c>
      <c r="G414" s="105" t="s">
        <v>1956</v>
      </c>
      <c r="H414" s="105">
        <v>3</v>
      </c>
      <c r="I414" s="106">
        <v>154416076</v>
      </c>
      <c r="J414" s="110" t="s">
        <v>2474</v>
      </c>
      <c r="K414" s="208"/>
    </row>
    <row r="415" spans="1:11" x14ac:dyDescent="0.25">
      <c r="A415" s="476"/>
      <c r="B415" s="110" t="s">
        <v>504</v>
      </c>
      <c r="C415" s="105" t="s">
        <v>1954</v>
      </c>
      <c r="D415" s="105">
        <v>3</v>
      </c>
      <c r="E415" s="106">
        <v>189509043</v>
      </c>
      <c r="F415" s="97" t="s">
        <v>2475</v>
      </c>
      <c r="G415" s="105" t="s">
        <v>1956</v>
      </c>
      <c r="H415" s="105">
        <v>3</v>
      </c>
      <c r="I415" s="106">
        <v>189672369</v>
      </c>
      <c r="J415" s="110" t="s">
        <v>2476</v>
      </c>
      <c r="K415" s="208" t="s">
        <v>2477</v>
      </c>
    </row>
    <row r="416" spans="1:11" x14ac:dyDescent="0.25">
      <c r="A416" s="476"/>
      <c r="B416" s="110" t="s">
        <v>504</v>
      </c>
      <c r="C416" s="105" t="s">
        <v>1954</v>
      </c>
      <c r="D416" s="105">
        <v>4</v>
      </c>
      <c r="E416" s="106">
        <v>1695710</v>
      </c>
      <c r="F416" s="97" t="s">
        <v>2478</v>
      </c>
      <c r="G416" s="105" t="s">
        <v>1956</v>
      </c>
      <c r="H416" s="105">
        <v>4</v>
      </c>
      <c r="I416" s="106">
        <v>1801549</v>
      </c>
      <c r="J416" s="110" t="s">
        <v>2479</v>
      </c>
      <c r="K416" s="208" t="s">
        <v>2480</v>
      </c>
    </row>
    <row r="417" spans="1:11" x14ac:dyDescent="0.25">
      <c r="A417" s="476"/>
      <c r="B417" s="110" t="s">
        <v>504</v>
      </c>
      <c r="C417" s="105" t="s">
        <v>1960</v>
      </c>
      <c r="D417" s="105">
        <v>4</v>
      </c>
      <c r="E417" s="106">
        <v>157321966</v>
      </c>
      <c r="F417" s="97" t="s">
        <v>2481</v>
      </c>
      <c r="G417" s="105" t="s">
        <v>1956</v>
      </c>
      <c r="H417" s="105">
        <v>4</v>
      </c>
      <c r="I417" s="106">
        <v>157334561</v>
      </c>
      <c r="J417" s="97" t="s">
        <v>2481</v>
      </c>
      <c r="K417" s="208"/>
    </row>
    <row r="418" spans="1:11" x14ac:dyDescent="0.25">
      <c r="A418" s="476"/>
      <c r="B418" s="110" t="s">
        <v>504</v>
      </c>
      <c r="C418" s="105" t="s">
        <v>1975</v>
      </c>
      <c r="D418" s="105">
        <v>5</v>
      </c>
      <c r="E418" s="106">
        <v>143064</v>
      </c>
      <c r="F418" s="97" t="s">
        <v>2482</v>
      </c>
      <c r="G418" s="105" t="s">
        <v>1956</v>
      </c>
      <c r="H418" s="105">
        <v>12</v>
      </c>
      <c r="I418" s="106">
        <v>70036543</v>
      </c>
      <c r="J418" s="110" t="s">
        <v>2483</v>
      </c>
      <c r="K418" s="208" t="s">
        <v>2484</v>
      </c>
    </row>
    <row r="419" spans="1:11" x14ac:dyDescent="0.25">
      <c r="A419" s="476"/>
      <c r="B419" s="110" t="s">
        <v>504</v>
      </c>
      <c r="C419" s="105" t="s">
        <v>1975</v>
      </c>
      <c r="D419" s="105">
        <v>5</v>
      </c>
      <c r="E419" s="106">
        <v>283623</v>
      </c>
      <c r="F419" s="97" t="s">
        <v>2485</v>
      </c>
      <c r="G419" s="105" t="s">
        <v>1956</v>
      </c>
      <c r="H419" s="105">
        <v>12</v>
      </c>
      <c r="I419" s="106">
        <v>69775909</v>
      </c>
      <c r="J419" s="110" t="s">
        <v>2486</v>
      </c>
      <c r="K419" s="208" t="s">
        <v>2487</v>
      </c>
    </row>
    <row r="420" spans="1:11" x14ac:dyDescent="0.25">
      <c r="A420" s="476"/>
      <c r="B420" s="110" t="s">
        <v>504</v>
      </c>
      <c r="C420" s="105" t="s">
        <v>1975</v>
      </c>
      <c r="D420" s="105">
        <v>5</v>
      </c>
      <c r="E420" s="106">
        <v>303683</v>
      </c>
      <c r="F420" s="97" t="s">
        <v>2485</v>
      </c>
      <c r="G420" s="105" t="s">
        <v>1956</v>
      </c>
      <c r="H420" s="105">
        <v>12</v>
      </c>
      <c r="I420" s="106">
        <v>58303732</v>
      </c>
      <c r="J420" s="110" t="s">
        <v>2488</v>
      </c>
      <c r="K420" s="208" t="s">
        <v>2489</v>
      </c>
    </row>
    <row r="421" spans="1:11" x14ac:dyDescent="0.25">
      <c r="A421" s="476"/>
      <c r="B421" s="110" t="s">
        <v>504</v>
      </c>
      <c r="C421" s="105" t="s">
        <v>1960</v>
      </c>
      <c r="D421" s="105">
        <v>5</v>
      </c>
      <c r="E421" s="106">
        <v>303908</v>
      </c>
      <c r="F421" s="97" t="s">
        <v>2485</v>
      </c>
      <c r="G421" s="105" t="s">
        <v>1956</v>
      </c>
      <c r="H421" s="105">
        <v>5</v>
      </c>
      <c r="I421" s="106">
        <v>304167</v>
      </c>
      <c r="J421" s="97" t="s">
        <v>2485</v>
      </c>
      <c r="K421" s="208" t="s">
        <v>2490</v>
      </c>
    </row>
    <row r="422" spans="1:11" x14ac:dyDescent="0.25">
      <c r="A422" s="476"/>
      <c r="B422" s="110" t="s">
        <v>504</v>
      </c>
      <c r="C422" s="105" t="s">
        <v>1975</v>
      </c>
      <c r="D422" s="105">
        <v>5</v>
      </c>
      <c r="E422" s="106">
        <v>304534</v>
      </c>
      <c r="F422" s="97" t="s">
        <v>2485</v>
      </c>
      <c r="G422" s="105" t="s">
        <v>1956</v>
      </c>
      <c r="H422" s="105">
        <v>12</v>
      </c>
      <c r="I422" s="106">
        <v>69214994</v>
      </c>
      <c r="J422" s="110" t="s">
        <v>2491</v>
      </c>
      <c r="K422" s="208" t="s">
        <v>2492</v>
      </c>
    </row>
    <row r="423" spans="1:11" x14ac:dyDescent="0.25">
      <c r="A423" s="476"/>
      <c r="B423" s="110" t="s">
        <v>504</v>
      </c>
      <c r="C423" s="105" t="s">
        <v>1960</v>
      </c>
      <c r="D423" s="105">
        <v>5</v>
      </c>
      <c r="E423" s="106">
        <v>22300711</v>
      </c>
      <c r="F423" s="97" t="s">
        <v>2493</v>
      </c>
      <c r="G423" s="105" t="s">
        <v>1956</v>
      </c>
      <c r="H423" s="105">
        <v>5</v>
      </c>
      <c r="I423" s="106">
        <v>23126014</v>
      </c>
      <c r="J423" s="110" t="s">
        <v>2494</v>
      </c>
      <c r="K423" s="208" t="s">
        <v>2495</v>
      </c>
    </row>
    <row r="424" spans="1:11" x14ac:dyDescent="0.25">
      <c r="A424" s="476"/>
      <c r="B424" s="110" t="s">
        <v>504</v>
      </c>
      <c r="C424" s="105" t="s">
        <v>1975</v>
      </c>
      <c r="D424" s="105">
        <v>5</v>
      </c>
      <c r="E424" s="106">
        <v>28271389</v>
      </c>
      <c r="F424" s="97" t="s">
        <v>2496</v>
      </c>
      <c r="G424" s="105" t="s">
        <v>1956</v>
      </c>
      <c r="H424" s="105">
        <v>12</v>
      </c>
      <c r="I424" s="106">
        <v>133833205</v>
      </c>
      <c r="J424" s="110" t="s">
        <v>2497</v>
      </c>
      <c r="K424" s="208"/>
    </row>
    <row r="425" spans="1:11" x14ac:dyDescent="0.25">
      <c r="A425" s="476"/>
      <c r="B425" s="110" t="s">
        <v>504</v>
      </c>
      <c r="C425" s="105" t="s">
        <v>1954</v>
      </c>
      <c r="D425" s="105">
        <v>5</v>
      </c>
      <c r="E425" s="106">
        <v>128095422</v>
      </c>
      <c r="F425" s="97" t="s">
        <v>2498</v>
      </c>
      <c r="G425" s="105" t="s">
        <v>1956</v>
      </c>
      <c r="H425" s="105">
        <v>5</v>
      </c>
      <c r="I425" s="106">
        <v>128194631</v>
      </c>
      <c r="J425" s="97" t="s">
        <v>2498</v>
      </c>
      <c r="K425" s="208"/>
    </row>
    <row r="426" spans="1:11" x14ac:dyDescent="0.25">
      <c r="A426" s="476"/>
      <c r="B426" s="110" t="s">
        <v>504</v>
      </c>
      <c r="C426" s="105" t="s">
        <v>1954</v>
      </c>
      <c r="D426" s="105">
        <v>5</v>
      </c>
      <c r="E426" s="106">
        <v>133278195</v>
      </c>
      <c r="F426" s="97" t="s">
        <v>2499</v>
      </c>
      <c r="G426" s="105" t="s">
        <v>1956</v>
      </c>
      <c r="H426" s="105">
        <v>5</v>
      </c>
      <c r="I426" s="106">
        <v>133278426</v>
      </c>
      <c r="J426" s="97" t="s">
        <v>2499</v>
      </c>
      <c r="K426" s="208"/>
    </row>
    <row r="427" spans="1:11" x14ac:dyDescent="0.25">
      <c r="A427" s="476"/>
      <c r="B427" s="110" t="s">
        <v>504</v>
      </c>
      <c r="C427" s="105" t="s">
        <v>1954</v>
      </c>
      <c r="D427" s="105">
        <v>6</v>
      </c>
      <c r="E427" s="106">
        <v>88496656</v>
      </c>
      <c r="F427" s="97" t="s">
        <v>2500</v>
      </c>
      <c r="G427" s="105" t="s">
        <v>1956</v>
      </c>
      <c r="H427" s="105">
        <v>6</v>
      </c>
      <c r="I427" s="106">
        <v>97527833</v>
      </c>
      <c r="J427" s="110" t="s">
        <v>2501</v>
      </c>
      <c r="K427" s="208" t="s">
        <v>2502</v>
      </c>
    </row>
    <row r="428" spans="1:11" x14ac:dyDescent="0.25">
      <c r="A428" s="476"/>
      <c r="B428" s="110" t="s">
        <v>504</v>
      </c>
      <c r="C428" s="105" t="s">
        <v>1954</v>
      </c>
      <c r="D428" s="105">
        <v>6</v>
      </c>
      <c r="E428" s="106">
        <v>103060823</v>
      </c>
      <c r="F428" s="97" t="s">
        <v>2503</v>
      </c>
      <c r="G428" s="105" t="s">
        <v>1956</v>
      </c>
      <c r="H428" s="105">
        <v>6</v>
      </c>
      <c r="I428" s="106">
        <v>103106891</v>
      </c>
      <c r="J428" s="97" t="s">
        <v>2503</v>
      </c>
      <c r="K428" s="208"/>
    </row>
    <row r="429" spans="1:11" x14ac:dyDescent="0.25">
      <c r="A429" s="476"/>
      <c r="B429" s="110" t="s">
        <v>504</v>
      </c>
      <c r="C429" s="105" t="s">
        <v>1975</v>
      </c>
      <c r="D429" s="105">
        <v>7</v>
      </c>
      <c r="E429" s="106">
        <v>80176900</v>
      </c>
      <c r="F429" s="97" t="s">
        <v>2504</v>
      </c>
      <c r="G429" s="105" t="s">
        <v>1956</v>
      </c>
      <c r="H429" s="105">
        <v>11</v>
      </c>
      <c r="I429" s="106">
        <v>133454247</v>
      </c>
      <c r="J429" s="97" t="s">
        <v>2505</v>
      </c>
      <c r="K429" s="208"/>
    </row>
    <row r="430" spans="1:11" x14ac:dyDescent="0.25">
      <c r="A430" s="476"/>
      <c r="B430" s="110" t="s">
        <v>504</v>
      </c>
      <c r="C430" s="105" t="s">
        <v>1975</v>
      </c>
      <c r="D430" s="105">
        <v>7</v>
      </c>
      <c r="E430" s="106">
        <v>80454152</v>
      </c>
      <c r="F430" s="110" t="s">
        <v>2506</v>
      </c>
      <c r="G430" s="105" t="s">
        <v>1956</v>
      </c>
      <c r="H430" s="105">
        <v>11</v>
      </c>
      <c r="I430" s="106">
        <v>133454260</v>
      </c>
      <c r="J430" s="110" t="s">
        <v>2505</v>
      </c>
      <c r="K430" s="208" t="s">
        <v>2507</v>
      </c>
    </row>
    <row r="431" spans="1:11" x14ac:dyDescent="0.25">
      <c r="A431" s="476"/>
      <c r="B431" s="110" t="s">
        <v>504</v>
      </c>
      <c r="C431" s="105" t="s">
        <v>1954</v>
      </c>
      <c r="D431" s="105">
        <v>8</v>
      </c>
      <c r="E431" s="106">
        <v>11192178</v>
      </c>
      <c r="F431" s="97" t="s">
        <v>2508</v>
      </c>
      <c r="G431" s="105" t="s">
        <v>1956</v>
      </c>
      <c r="H431" s="105">
        <v>8</v>
      </c>
      <c r="I431" s="106">
        <v>11558961</v>
      </c>
      <c r="J431" s="110" t="s">
        <v>2509</v>
      </c>
      <c r="K431" s="208" t="s">
        <v>2510</v>
      </c>
    </row>
    <row r="432" spans="1:11" x14ac:dyDescent="0.25">
      <c r="A432" s="476"/>
      <c r="B432" s="110" t="s">
        <v>504</v>
      </c>
      <c r="C432" s="105" t="s">
        <v>1964</v>
      </c>
      <c r="D432" s="105">
        <v>8</v>
      </c>
      <c r="E432" s="106">
        <v>38843912</v>
      </c>
      <c r="F432" s="97" t="s">
        <v>2511</v>
      </c>
      <c r="G432" s="105" t="s">
        <v>1956</v>
      </c>
      <c r="H432" s="105">
        <v>8</v>
      </c>
      <c r="I432" s="106">
        <v>38844478</v>
      </c>
      <c r="J432" s="97" t="s">
        <v>2511</v>
      </c>
      <c r="K432" s="208"/>
    </row>
    <row r="433" spans="1:12" x14ac:dyDescent="0.25">
      <c r="A433" s="476"/>
      <c r="B433" s="110" t="s">
        <v>504</v>
      </c>
      <c r="C433" s="105" t="s">
        <v>1954</v>
      </c>
      <c r="D433" s="105">
        <v>8</v>
      </c>
      <c r="E433" s="106">
        <v>121522236</v>
      </c>
      <c r="F433" s="97" t="s">
        <v>2512</v>
      </c>
      <c r="G433" s="105" t="s">
        <v>1956</v>
      </c>
      <c r="H433" s="105">
        <v>8</v>
      </c>
      <c r="I433" s="106">
        <v>127743122</v>
      </c>
      <c r="J433" s="110" t="s">
        <v>2513</v>
      </c>
      <c r="K433" s="208" t="s">
        <v>2514</v>
      </c>
    </row>
    <row r="434" spans="1:12" x14ac:dyDescent="0.25">
      <c r="A434" s="476"/>
      <c r="B434" s="110" t="s">
        <v>504</v>
      </c>
      <c r="C434" s="105" t="s">
        <v>1954</v>
      </c>
      <c r="D434" s="105">
        <v>9</v>
      </c>
      <c r="E434" s="106">
        <v>17834721</v>
      </c>
      <c r="F434" s="97" t="s">
        <v>2515</v>
      </c>
      <c r="G434" s="105" t="s">
        <v>1956</v>
      </c>
      <c r="H434" s="105">
        <v>9</v>
      </c>
      <c r="I434" s="106">
        <v>17906869</v>
      </c>
      <c r="J434" s="97" t="s">
        <v>2515</v>
      </c>
      <c r="K434" s="208"/>
    </row>
    <row r="435" spans="1:12" x14ac:dyDescent="0.25">
      <c r="A435" s="476"/>
      <c r="B435" s="110" t="s">
        <v>504</v>
      </c>
      <c r="C435" s="105" t="s">
        <v>1954</v>
      </c>
      <c r="D435" s="105">
        <v>10</v>
      </c>
      <c r="E435" s="106">
        <v>1740390</v>
      </c>
      <c r="F435" s="97" t="s">
        <v>2516</v>
      </c>
      <c r="G435" s="105" t="s">
        <v>1956</v>
      </c>
      <c r="H435" s="105">
        <v>10</v>
      </c>
      <c r="I435" s="106">
        <v>1877494</v>
      </c>
      <c r="J435" s="110" t="s">
        <v>2517</v>
      </c>
      <c r="K435" s="208" t="s">
        <v>2518</v>
      </c>
    </row>
    <row r="436" spans="1:12" x14ac:dyDescent="0.25">
      <c r="A436" s="476"/>
      <c r="B436" s="110" t="s">
        <v>504</v>
      </c>
      <c r="C436" s="105" t="s">
        <v>1954</v>
      </c>
      <c r="D436" s="105">
        <v>11</v>
      </c>
      <c r="E436" s="106">
        <v>85345118</v>
      </c>
      <c r="F436" s="97" t="s">
        <v>2519</v>
      </c>
      <c r="G436" s="105" t="s">
        <v>1956</v>
      </c>
      <c r="H436" s="105">
        <v>11</v>
      </c>
      <c r="I436" s="106">
        <v>85516713</v>
      </c>
      <c r="J436" s="110" t="s">
        <v>2520</v>
      </c>
      <c r="K436" s="208" t="s">
        <v>2521</v>
      </c>
    </row>
    <row r="437" spans="1:12" x14ac:dyDescent="0.25">
      <c r="A437" s="476"/>
      <c r="B437" s="110" t="s">
        <v>504</v>
      </c>
      <c r="C437" s="105" t="s">
        <v>1954</v>
      </c>
      <c r="D437" s="105">
        <v>11</v>
      </c>
      <c r="E437" s="106">
        <v>99244665</v>
      </c>
      <c r="F437" s="97" t="s">
        <v>2522</v>
      </c>
      <c r="G437" s="105" t="s">
        <v>1956</v>
      </c>
      <c r="H437" s="105">
        <v>11</v>
      </c>
      <c r="I437" s="106">
        <v>99451152</v>
      </c>
      <c r="J437" s="97" t="s">
        <v>2522</v>
      </c>
      <c r="K437" s="208" t="s">
        <v>2523</v>
      </c>
    </row>
    <row r="438" spans="1:12" x14ac:dyDescent="0.25">
      <c r="A438" s="476"/>
      <c r="B438" s="110" t="s">
        <v>504</v>
      </c>
      <c r="C438" s="105" t="s">
        <v>1954</v>
      </c>
      <c r="D438" s="105">
        <v>11</v>
      </c>
      <c r="E438" s="106">
        <v>133338658</v>
      </c>
      <c r="F438" s="97" t="s">
        <v>2524</v>
      </c>
      <c r="G438" s="105" t="s">
        <v>1956</v>
      </c>
      <c r="H438" s="105">
        <v>11</v>
      </c>
      <c r="I438" s="106">
        <v>133454397</v>
      </c>
      <c r="J438" s="110" t="s">
        <v>2505</v>
      </c>
      <c r="K438" s="208" t="s">
        <v>2525</v>
      </c>
    </row>
    <row r="439" spans="1:12" x14ac:dyDescent="0.25">
      <c r="A439" s="476"/>
      <c r="B439" s="110" t="s">
        <v>504</v>
      </c>
      <c r="C439" s="105" t="s">
        <v>1975</v>
      </c>
      <c r="D439" s="105">
        <v>11</v>
      </c>
      <c r="E439" s="106">
        <v>134930989</v>
      </c>
      <c r="F439" s="110" t="s">
        <v>2505</v>
      </c>
      <c r="G439" s="105" t="s">
        <v>1956</v>
      </c>
      <c r="H439" s="105">
        <v>19</v>
      </c>
      <c r="I439" s="106">
        <v>28618236</v>
      </c>
      <c r="J439" s="97" t="s">
        <v>2526</v>
      </c>
      <c r="K439" s="208"/>
    </row>
    <row r="440" spans="1:12" x14ac:dyDescent="0.25">
      <c r="A440" s="476"/>
      <c r="B440" s="275" t="s">
        <v>504</v>
      </c>
      <c r="C440" s="276" t="s">
        <v>1954</v>
      </c>
      <c r="D440" s="276">
        <v>12</v>
      </c>
      <c r="E440" s="275">
        <v>32512924</v>
      </c>
      <c r="F440" s="275"/>
      <c r="G440" s="105" t="s">
        <v>1956</v>
      </c>
      <c r="H440" s="276">
        <v>12</v>
      </c>
      <c r="I440" s="275">
        <v>48305729</v>
      </c>
      <c r="J440" s="106"/>
      <c r="K440" s="107"/>
      <c r="L440" s="149"/>
    </row>
    <row r="441" spans="1:12" x14ac:dyDescent="0.25">
      <c r="A441" s="476"/>
      <c r="B441" s="275" t="s">
        <v>504</v>
      </c>
      <c r="C441" s="276" t="s">
        <v>1960</v>
      </c>
      <c r="D441" s="276">
        <v>12</v>
      </c>
      <c r="E441" s="275">
        <v>32842375</v>
      </c>
      <c r="F441" s="275"/>
      <c r="G441" s="105" t="s">
        <v>1956</v>
      </c>
      <c r="H441" s="276">
        <v>12</v>
      </c>
      <c r="I441" s="275">
        <v>47559597</v>
      </c>
      <c r="J441" s="106"/>
      <c r="K441" s="107"/>
      <c r="L441" s="149"/>
    </row>
    <row r="442" spans="1:12" x14ac:dyDescent="0.25">
      <c r="A442" s="476"/>
      <c r="B442" s="275" t="s">
        <v>504</v>
      </c>
      <c r="C442" s="276" t="s">
        <v>1954</v>
      </c>
      <c r="D442" s="276">
        <v>12</v>
      </c>
      <c r="E442" s="275">
        <v>57911933</v>
      </c>
      <c r="F442" s="275"/>
      <c r="G442" s="105" t="s">
        <v>1956</v>
      </c>
      <c r="H442" s="276">
        <v>12</v>
      </c>
      <c r="I442" s="275">
        <v>128890246</v>
      </c>
      <c r="J442" s="106"/>
      <c r="K442" s="107"/>
      <c r="L442" s="149"/>
    </row>
    <row r="443" spans="1:12" x14ac:dyDescent="0.25">
      <c r="A443" s="476"/>
      <c r="B443" s="275" t="s">
        <v>504</v>
      </c>
      <c r="C443" s="276" t="s">
        <v>1964</v>
      </c>
      <c r="D443" s="276">
        <v>12</v>
      </c>
      <c r="E443" s="275">
        <v>57913362</v>
      </c>
      <c r="F443" s="275"/>
      <c r="G443" s="105" t="s">
        <v>1956</v>
      </c>
      <c r="H443" s="276">
        <v>12</v>
      </c>
      <c r="I443" s="275">
        <v>69978416</v>
      </c>
      <c r="J443" s="106"/>
      <c r="K443" s="107"/>
      <c r="L443" s="149"/>
    </row>
    <row r="444" spans="1:12" x14ac:dyDescent="0.25">
      <c r="A444" s="476"/>
      <c r="B444" s="275" t="s">
        <v>504</v>
      </c>
      <c r="C444" s="276" t="s">
        <v>1964</v>
      </c>
      <c r="D444" s="276">
        <v>12</v>
      </c>
      <c r="E444" s="275">
        <v>57918710</v>
      </c>
      <c r="F444" s="275"/>
      <c r="G444" s="105" t="s">
        <v>1956</v>
      </c>
      <c r="H444" s="276">
        <v>12</v>
      </c>
      <c r="I444" s="275">
        <v>128391250</v>
      </c>
      <c r="J444" s="106"/>
      <c r="K444" s="107"/>
      <c r="L444" s="149"/>
    </row>
    <row r="445" spans="1:12" x14ac:dyDescent="0.25">
      <c r="A445" s="476"/>
      <c r="B445" s="275" t="s">
        <v>504</v>
      </c>
      <c r="C445" s="276" t="s">
        <v>1964</v>
      </c>
      <c r="D445" s="276">
        <v>12</v>
      </c>
      <c r="E445" s="275">
        <v>57929825</v>
      </c>
      <c r="F445" s="275"/>
      <c r="G445" s="105" t="s">
        <v>1956</v>
      </c>
      <c r="H445" s="276">
        <v>12</v>
      </c>
      <c r="I445" s="275">
        <v>58756873</v>
      </c>
      <c r="J445" s="106"/>
      <c r="K445" s="107"/>
      <c r="L445" s="149"/>
    </row>
    <row r="446" spans="1:12" x14ac:dyDescent="0.25">
      <c r="A446" s="476"/>
      <c r="B446" s="275" t="s">
        <v>504</v>
      </c>
      <c r="C446" s="276" t="s">
        <v>1964</v>
      </c>
      <c r="D446" s="276">
        <v>12</v>
      </c>
      <c r="E446" s="275">
        <v>57935642</v>
      </c>
      <c r="F446" s="275"/>
      <c r="G446" s="105" t="s">
        <v>1956</v>
      </c>
      <c r="H446" s="276">
        <v>12</v>
      </c>
      <c r="I446" s="275">
        <v>70320224</v>
      </c>
      <c r="J446" s="106"/>
      <c r="K446" s="107"/>
      <c r="L446" s="149"/>
    </row>
    <row r="447" spans="1:12" x14ac:dyDescent="0.25">
      <c r="A447" s="476"/>
      <c r="B447" s="275" t="s">
        <v>504</v>
      </c>
      <c r="C447" s="276" t="s">
        <v>1954</v>
      </c>
      <c r="D447" s="276">
        <v>12</v>
      </c>
      <c r="E447" s="275">
        <v>57939683</v>
      </c>
      <c r="F447" s="275"/>
      <c r="G447" s="105" t="s">
        <v>1956</v>
      </c>
      <c r="H447" s="276">
        <v>12</v>
      </c>
      <c r="I447" s="275">
        <v>69613023</v>
      </c>
      <c r="J447" s="106"/>
      <c r="K447" s="107"/>
      <c r="L447" s="149"/>
    </row>
    <row r="448" spans="1:12" x14ac:dyDescent="0.25">
      <c r="A448" s="476"/>
      <c r="B448" s="275" t="s">
        <v>504</v>
      </c>
      <c r="C448" s="276" t="s">
        <v>1960</v>
      </c>
      <c r="D448" s="276">
        <v>12</v>
      </c>
      <c r="E448" s="275">
        <v>57939953</v>
      </c>
      <c r="F448" s="275"/>
      <c r="G448" s="105" t="s">
        <v>1956</v>
      </c>
      <c r="H448" s="276">
        <v>12</v>
      </c>
      <c r="I448" s="275">
        <v>58244706</v>
      </c>
      <c r="J448" s="106"/>
      <c r="K448" s="107"/>
      <c r="L448" s="149"/>
    </row>
    <row r="449" spans="1:12" x14ac:dyDescent="0.25">
      <c r="A449" s="476"/>
      <c r="B449" s="275" t="s">
        <v>504</v>
      </c>
      <c r="C449" s="276" t="s">
        <v>1960</v>
      </c>
      <c r="D449" s="276">
        <v>12</v>
      </c>
      <c r="E449" s="275">
        <v>57944698</v>
      </c>
      <c r="F449" s="275"/>
      <c r="G449" s="105" t="s">
        <v>1956</v>
      </c>
      <c r="H449" s="276">
        <v>12</v>
      </c>
      <c r="I449" s="275">
        <v>69547042</v>
      </c>
      <c r="J449" s="106"/>
      <c r="K449" s="107"/>
      <c r="L449" s="149"/>
    </row>
    <row r="450" spans="1:12" x14ac:dyDescent="0.25">
      <c r="A450" s="476"/>
      <c r="B450" s="275" t="s">
        <v>504</v>
      </c>
      <c r="C450" s="276" t="s">
        <v>1954</v>
      </c>
      <c r="D450" s="276">
        <v>12</v>
      </c>
      <c r="E450" s="275">
        <v>57947388</v>
      </c>
      <c r="F450" s="275"/>
      <c r="G450" s="105" t="s">
        <v>1956</v>
      </c>
      <c r="H450" s="276">
        <v>12</v>
      </c>
      <c r="I450" s="275">
        <v>69742942</v>
      </c>
      <c r="J450" s="106"/>
      <c r="K450" s="107"/>
      <c r="L450" s="149"/>
    </row>
    <row r="451" spans="1:12" x14ac:dyDescent="0.25">
      <c r="A451" s="476"/>
      <c r="B451" s="275" t="s">
        <v>504</v>
      </c>
      <c r="C451" s="276" t="s">
        <v>1954</v>
      </c>
      <c r="D451" s="276">
        <v>12</v>
      </c>
      <c r="E451" s="275">
        <v>57951679</v>
      </c>
      <c r="F451" s="275"/>
      <c r="G451" s="105" t="s">
        <v>1956</v>
      </c>
      <c r="H451" s="276">
        <v>12</v>
      </c>
      <c r="I451" s="275">
        <v>128495130</v>
      </c>
      <c r="J451" s="106"/>
      <c r="K451" s="107"/>
      <c r="L451" s="149"/>
    </row>
    <row r="452" spans="1:12" x14ac:dyDescent="0.25">
      <c r="A452" s="476"/>
      <c r="B452" s="275" t="s">
        <v>504</v>
      </c>
      <c r="C452" s="276" t="s">
        <v>1954</v>
      </c>
      <c r="D452" s="276">
        <v>12</v>
      </c>
      <c r="E452" s="275">
        <v>57960562</v>
      </c>
      <c r="F452" s="275"/>
      <c r="G452" s="105" t="s">
        <v>1956</v>
      </c>
      <c r="H452" s="276">
        <v>12</v>
      </c>
      <c r="I452" s="275">
        <v>69381203</v>
      </c>
      <c r="J452" s="106"/>
      <c r="K452" s="107"/>
      <c r="L452" s="149"/>
    </row>
    <row r="453" spans="1:12" x14ac:dyDescent="0.25">
      <c r="A453" s="476"/>
      <c r="B453" s="275" t="s">
        <v>504</v>
      </c>
      <c r="C453" s="276" t="s">
        <v>1960</v>
      </c>
      <c r="D453" s="276">
        <v>12</v>
      </c>
      <c r="E453" s="275">
        <v>57961138</v>
      </c>
      <c r="F453" s="275"/>
      <c r="G453" s="105" t="s">
        <v>1956</v>
      </c>
      <c r="H453" s="276">
        <v>12</v>
      </c>
      <c r="I453" s="275">
        <v>128602631</v>
      </c>
      <c r="J453" s="106"/>
      <c r="K453" s="107"/>
      <c r="L453" s="149"/>
    </row>
    <row r="454" spans="1:12" x14ac:dyDescent="0.25">
      <c r="A454" s="476"/>
      <c r="B454" s="275" t="s">
        <v>504</v>
      </c>
      <c r="C454" s="276" t="s">
        <v>1954</v>
      </c>
      <c r="D454" s="276">
        <v>12</v>
      </c>
      <c r="E454" s="275">
        <v>57968658</v>
      </c>
      <c r="F454" s="275"/>
      <c r="G454" s="105" t="s">
        <v>1956</v>
      </c>
      <c r="H454" s="276">
        <v>12</v>
      </c>
      <c r="I454" s="275">
        <v>59148458</v>
      </c>
      <c r="J454" s="106"/>
      <c r="K454" s="107"/>
      <c r="L454" s="149"/>
    </row>
    <row r="455" spans="1:12" x14ac:dyDescent="0.25">
      <c r="A455" s="476"/>
      <c r="B455" s="275" t="s">
        <v>504</v>
      </c>
      <c r="C455" s="276" t="s">
        <v>1964</v>
      </c>
      <c r="D455" s="276">
        <v>12</v>
      </c>
      <c r="E455" s="275">
        <v>57970181</v>
      </c>
      <c r="F455" s="275"/>
      <c r="G455" s="105" t="s">
        <v>1956</v>
      </c>
      <c r="H455" s="276">
        <v>12</v>
      </c>
      <c r="I455" s="275">
        <v>69981505</v>
      </c>
      <c r="J455" s="106"/>
      <c r="K455" s="107"/>
      <c r="L455" s="149"/>
    </row>
    <row r="456" spans="1:12" x14ac:dyDescent="0.25">
      <c r="A456" s="476"/>
      <c r="B456" s="275" t="s">
        <v>504</v>
      </c>
      <c r="C456" s="276" t="s">
        <v>1954</v>
      </c>
      <c r="D456" s="276">
        <v>12</v>
      </c>
      <c r="E456" s="275">
        <v>57972669</v>
      </c>
      <c r="F456" s="275"/>
      <c r="G456" s="105" t="s">
        <v>1956</v>
      </c>
      <c r="H456" s="276">
        <v>12</v>
      </c>
      <c r="I456" s="275">
        <v>128465413</v>
      </c>
      <c r="J456" s="106"/>
      <c r="K456" s="107"/>
      <c r="L456" s="149"/>
    </row>
    <row r="457" spans="1:12" x14ac:dyDescent="0.25">
      <c r="A457" s="476"/>
      <c r="B457" s="275" t="s">
        <v>504</v>
      </c>
      <c r="C457" s="276" t="s">
        <v>1964</v>
      </c>
      <c r="D457" s="276">
        <v>12</v>
      </c>
      <c r="E457" s="275">
        <v>57974472</v>
      </c>
      <c r="F457" s="275"/>
      <c r="G457" s="105" t="s">
        <v>1956</v>
      </c>
      <c r="H457" s="276">
        <v>12</v>
      </c>
      <c r="I457" s="275">
        <v>128032382</v>
      </c>
      <c r="J457" s="106"/>
      <c r="K457" s="107"/>
      <c r="L457" s="149"/>
    </row>
    <row r="458" spans="1:12" x14ac:dyDescent="0.25">
      <c r="A458" s="476"/>
      <c r="B458" s="275" t="s">
        <v>504</v>
      </c>
      <c r="C458" s="276" t="s">
        <v>1964</v>
      </c>
      <c r="D458" s="276">
        <v>12</v>
      </c>
      <c r="E458" s="275">
        <v>57976263</v>
      </c>
      <c r="F458" s="275"/>
      <c r="G458" s="105" t="s">
        <v>1956</v>
      </c>
      <c r="H458" s="276">
        <v>12</v>
      </c>
      <c r="I458" s="275">
        <v>69483509</v>
      </c>
      <c r="J458" s="106"/>
      <c r="K458" s="107"/>
      <c r="L458" s="149"/>
    </row>
    <row r="459" spans="1:12" x14ac:dyDescent="0.25">
      <c r="A459" s="476"/>
      <c r="B459" s="275" t="s">
        <v>504</v>
      </c>
      <c r="C459" s="276" t="s">
        <v>1964</v>
      </c>
      <c r="D459" s="276">
        <v>12</v>
      </c>
      <c r="E459" s="275">
        <v>57976293</v>
      </c>
      <c r="F459" s="275"/>
      <c r="G459" s="105" t="s">
        <v>1956</v>
      </c>
      <c r="H459" s="276">
        <v>12</v>
      </c>
      <c r="I459" s="275">
        <v>58106403</v>
      </c>
      <c r="J459" s="106"/>
      <c r="K459" s="107"/>
      <c r="L459" s="149"/>
    </row>
    <row r="460" spans="1:12" x14ac:dyDescent="0.25">
      <c r="A460" s="476"/>
      <c r="B460" s="275" t="s">
        <v>504</v>
      </c>
      <c r="C460" s="276" t="s">
        <v>1964</v>
      </c>
      <c r="D460" s="276">
        <v>12</v>
      </c>
      <c r="E460" s="275">
        <v>57976499</v>
      </c>
      <c r="F460" s="275"/>
      <c r="G460" s="105" t="s">
        <v>1956</v>
      </c>
      <c r="H460" s="276">
        <v>12</v>
      </c>
      <c r="I460" s="275">
        <v>58239778</v>
      </c>
      <c r="J460" s="106"/>
      <c r="K460" s="107"/>
      <c r="L460" s="149"/>
    </row>
    <row r="461" spans="1:12" x14ac:dyDescent="0.25">
      <c r="A461" s="476"/>
      <c r="B461" s="275" t="s">
        <v>504</v>
      </c>
      <c r="C461" s="276" t="s">
        <v>1960</v>
      </c>
      <c r="D461" s="276">
        <v>12</v>
      </c>
      <c r="E461" s="275">
        <v>57976534</v>
      </c>
      <c r="F461" s="275"/>
      <c r="G461" s="105" t="s">
        <v>1956</v>
      </c>
      <c r="H461" s="276">
        <v>12</v>
      </c>
      <c r="I461" s="275">
        <v>128529725</v>
      </c>
      <c r="J461" s="106"/>
      <c r="K461" s="107"/>
      <c r="L461" s="149"/>
    </row>
    <row r="462" spans="1:12" x14ac:dyDescent="0.25">
      <c r="A462" s="476"/>
      <c r="B462" s="275" t="s">
        <v>504</v>
      </c>
      <c r="C462" s="276" t="s">
        <v>1954</v>
      </c>
      <c r="D462" s="276">
        <v>12</v>
      </c>
      <c r="E462" s="275">
        <v>57980311</v>
      </c>
      <c r="F462" s="275"/>
      <c r="G462" s="105" t="s">
        <v>1956</v>
      </c>
      <c r="H462" s="276">
        <v>12</v>
      </c>
      <c r="I462" s="275">
        <v>69364316</v>
      </c>
      <c r="J462" s="106"/>
      <c r="K462" s="107"/>
      <c r="L462" s="149"/>
    </row>
    <row r="463" spans="1:12" x14ac:dyDescent="0.25">
      <c r="A463" s="476"/>
      <c r="B463" s="275" t="s">
        <v>504</v>
      </c>
      <c r="C463" s="276" t="s">
        <v>1954</v>
      </c>
      <c r="D463" s="276">
        <v>12</v>
      </c>
      <c r="E463" s="275">
        <v>57982058</v>
      </c>
      <c r="F463" s="275"/>
      <c r="G463" s="105" t="s">
        <v>1956</v>
      </c>
      <c r="H463" s="276">
        <v>12</v>
      </c>
      <c r="I463" s="275">
        <v>69593751</v>
      </c>
      <c r="J463" s="106"/>
      <c r="K463" s="107"/>
      <c r="L463" s="149"/>
    </row>
    <row r="464" spans="1:12" x14ac:dyDescent="0.25">
      <c r="A464" s="476"/>
      <c r="B464" s="275" t="s">
        <v>504</v>
      </c>
      <c r="C464" s="276" t="s">
        <v>1964</v>
      </c>
      <c r="D464" s="276">
        <v>12</v>
      </c>
      <c r="E464" s="275">
        <v>57982940</v>
      </c>
      <c r="F464" s="275"/>
      <c r="G464" s="105" t="s">
        <v>1956</v>
      </c>
      <c r="H464" s="276">
        <v>12</v>
      </c>
      <c r="I464" s="275">
        <v>128686382</v>
      </c>
      <c r="J464" s="106"/>
      <c r="K464" s="107"/>
      <c r="L464" s="149"/>
    </row>
    <row r="465" spans="1:12" x14ac:dyDescent="0.25">
      <c r="A465" s="476"/>
      <c r="B465" s="275" t="s">
        <v>504</v>
      </c>
      <c r="C465" s="276" t="s">
        <v>1964</v>
      </c>
      <c r="D465" s="276">
        <v>12</v>
      </c>
      <c r="E465" s="275">
        <v>57983447</v>
      </c>
      <c r="F465" s="275"/>
      <c r="G465" s="105" t="s">
        <v>1956</v>
      </c>
      <c r="H465" s="276">
        <v>12</v>
      </c>
      <c r="I465" s="275">
        <v>58117620</v>
      </c>
      <c r="J465" s="106"/>
      <c r="K465" s="107"/>
      <c r="L465" s="149"/>
    </row>
    <row r="466" spans="1:12" x14ac:dyDescent="0.25">
      <c r="A466" s="476"/>
      <c r="B466" s="275" t="s">
        <v>504</v>
      </c>
      <c r="C466" s="276" t="s">
        <v>1960</v>
      </c>
      <c r="D466" s="276">
        <v>12</v>
      </c>
      <c r="E466" s="275">
        <v>57985168</v>
      </c>
      <c r="F466" s="275"/>
      <c r="G466" s="105" t="s">
        <v>1956</v>
      </c>
      <c r="H466" s="276">
        <v>12</v>
      </c>
      <c r="I466" s="275">
        <v>58315992</v>
      </c>
      <c r="J466" s="106"/>
      <c r="K466" s="107"/>
      <c r="L466" s="149"/>
    </row>
    <row r="467" spans="1:12" x14ac:dyDescent="0.25">
      <c r="A467" s="476"/>
      <c r="B467" s="275" t="s">
        <v>504</v>
      </c>
      <c r="C467" s="276" t="s">
        <v>1960</v>
      </c>
      <c r="D467" s="276">
        <v>12</v>
      </c>
      <c r="E467" s="275">
        <v>57988010</v>
      </c>
      <c r="F467" s="275"/>
      <c r="G467" s="105" t="s">
        <v>1956</v>
      </c>
      <c r="H467" s="276">
        <v>12</v>
      </c>
      <c r="I467" s="275">
        <v>69376218</v>
      </c>
      <c r="J467" s="106"/>
      <c r="K467" s="107"/>
      <c r="L467" s="149"/>
    </row>
    <row r="468" spans="1:12" x14ac:dyDescent="0.25">
      <c r="A468" s="476"/>
      <c r="B468" s="275" t="s">
        <v>504</v>
      </c>
      <c r="C468" s="276" t="s">
        <v>1964</v>
      </c>
      <c r="D468" s="276">
        <v>12</v>
      </c>
      <c r="E468" s="275">
        <v>57990055</v>
      </c>
      <c r="F468" s="275"/>
      <c r="G468" s="105" t="s">
        <v>1956</v>
      </c>
      <c r="H468" s="276">
        <v>12</v>
      </c>
      <c r="I468" s="275">
        <v>69847267</v>
      </c>
      <c r="J468" s="106"/>
      <c r="K468" s="107"/>
      <c r="L468" s="149"/>
    </row>
    <row r="469" spans="1:12" x14ac:dyDescent="0.25">
      <c r="A469" s="476"/>
      <c r="B469" s="275" t="s">
        <v>504</v>
      </c>
      <c r="C469" s="276" t="s">
        <v>1964</v>
      </c>
      <c r="D469" s="276">
        <v>12</v>
      </c>
      <c r="E469" s="275">
        <v>57990557</v>
      </c>
      <c r="F469" s="275"/>
      <c r="G469" s="105" t="s">
        <v>1956</v>
      </c>
      <c r="H469" s="276">
        <v>12</v>
      </c>
      <c r="I469" s="275">
        <v>58898537</v>
      </c>
      <c r="J469" s="106"/>
      <c r="K469" s="107"/>
      <c r="L469" s="149"/>
    </row>
    <row r="470" spans="1:12" x14ac:dyDescent="0.25">
      <c r="A470" s="476"/>
      <c r="B470" s="275" t="s">
        <v>504</v>
      </c>
      <c r="C470" s="276" t="s">
        <v>1960</v>
      </c>
      <c r="D470" s="276">
        <v>12</v>
      </c>
      <c r="E470" s="275">
        <v>57990844</v>
      </c>
      <c r="F470" s="275"/>
      <c r="G470" s="105" t="s">
        <v>1956</v>
      </c>
      <c r="H470" s="276">
        <v>12</v>
      </c>
      <c r="I470" s="275">
        <v>58267745</v>
      </c>
      <c r="J470" s="106"/>
      <c r="K470" s="107"/>
      <c r="L470" s="149"/>
    </row>
    <row r="471" spans="1:12" x14ac:dyDescent="0.25">
      <c r="A471" s="476"/>
      <c r="B471" s="275" t="s">
        <v>504</v>
      </c>
      <c r="C471" s="276" t="s">
        <v>1964</v>
      </c>
      <c r="D471" s="276">
        <v>12</v>
      </c>
      <c r="E471" s="275">
        <v>57991476</v>
      </c>
      <c r="F471" s="275"/>
      <c r="G471" s="105" t="s">
        <v>1956</v>
      </c>
      <c r="H471" s="276">
        <v>12</v>
      </c>
      <c r="I471" s="275">
        <v>58528689</v>
      </c>
      <c r="J471" s="106"/>
      <c r="K471" s="107"/>
      <c r="L471" s="149"/>
    </row>
    <row r="472" spans="1:12" x14ac:dyDescent="0.25">
      <c r="A472" s="476"/>
      <c r="B472" s="275" t="s">
        <v>504</v>
      </c>
      <c r="C472" s="276" t="s">
        <v>1964</v>
      </c>
      <c r="D472" s="276">
        <v>12</v>
      </c>
      <c r="E472" s="275">
        <v>57992280</v>
      </c>
      <c r="F472" s="275"/>
      <c r="G472" s="105" t="s">
        <v>1956</v>
      </c>
      <c r="H472" s="276">
        <v>12</v>
      </c>
      <c r="I472" s="275">
        <v>58847558</v>
      </c>
      <c r="J472" s="106"/>
      <c r="K472" s="107"/>
      <c r="L472" s="149"/>
    </row>
    <row r="473" spans="1:12" x14ac:dyDescent="0.25">
      <c r="A473" s="476"/>
      <c r="B473" s="275" t="s">
        <v>504</v>
      </c>
      <c r="C473" s="276" t="s">
        <v>1964</v>
      </c>
      <c r="D473" s="276">
        <v>12</v>
      </c>
      <c r="E473" s="275">
        <v>57993537</v>
      </c>
      <c r="F473" s="275"/>
      <c r="G473" s="105" t="s">
        <v>1956</v>
      </c>
      <c r="H473" s="276">
        <v>12</v>
      </c>
      <c r="I473" s="275">
        <v>128268839</v>
      </c>
      <c r="J473" s="106"/>
      <c r="K473" s="107"/>
      <c r="L473" s="149"/>
    </row>
    <row r="474" spans="1:12" x14ac:dyDescent="0.25">
      <c r="A474" s="476"/>
      <c r="B474" s="275" t="s">
        <v>504</v>
      </c>
      <c r="C474" s="276" t="s">
        <v>1964</v>
      </c>
      <c r="D474" s="276">
        <v>12</v>
      </c>
      <c r="E474" s="275">
        <v>57999337</v>
      </c>
      <c r="F474" s="275"/>
      <c r="G474" s="105" t="s">
        <v>1956</v>
      </c>
      <c r="H474" s="276">
        <v>12</v>
      </c>
      <c r="I474" s="275">
        <v>59174873</v>
      </c>
      <c r="J474" s="106"/>
      <c r="K474" s="107"/>
      <c r="L474" s="149"/>
    </row>
    <row r="475" spans="1:12" x14ac:dyDescent="0.25">
      <c r="A475" s="476"/>
      <c r="B475" s="275" t="s">
        <v>504</v>
      </c>
      <c r="C475" s="276" t="s">
        <v>1964</v>
      </c>
      <c r="D475" s="276">
        <v>12</v>
      </c>
      <c r="E475" s="275">
        <v>58000684</v>
      </c>
      <c r="F475" s="275"/>
      <c r="G475" s="105" t="s">
        <v>1956</v>
      </c>
      <c r="H475" s="276">
        <v>12</v>
      </c>
      <c r="I475" s="275">
        <v>69676881</v>
      </c>
      <c r="J475" s="106"/>
      <c r="K475" s="107"/>
      <c r="L475" s="149"/>
    </row>
    <row r="476" spans="1:12" x14ac:dyDescent="0.25">
      <c r="A476" s="476"/>
      <c r="B476" s="275" t="s">
        <v>504</v>
      </c>
      <c r="C476" s="276" t="s">
        <v>1954</v>
      </c>
      <c r="D476" s="276">
        <v>12</v>
      </c>
      <c r="E476" s="275">
        <v>58002617</v>
      </c>
      <c r="F476" s="275"/>
      <c r="G476" s="105" t="s">
        <v>1956</v>
      </c>
      <c r="H476" s="276">
        <v>12</v>
      </c>
      <c r="I476" s="275">
        <v>69260489</v>
      </c>
      <c r="J476" s="106"/>
      <c r="K476" s="107"/>
      <c r="L476" s="149"/>
    </row>
    <row r="477" spans="1:12" x14ac:dyDescent="0.25">
      <c r="A477" s="476"/>
      <c r="B477" s="275" t="s">
        <v>504</v>
      </c>
      <c r="C477" s="276" t="s">
        <v>1960</v>
      </c>
      <c r="D477" s="276">
        <v>12</v>
      </c>
      <c r="E477" s="275">
        <v>58002983</v>
      </c>
      <c r="F477" s="275"/>
      <c r="G477" s="105" t="s">
        <v>1956</v>
      </c>
      <c r="H477" s="276">
        <v>12</v>
      </c>
      <c r="I477" s="275">
        <v>69379361</v>
      </c>
      <c r="J477" s="106"/>
      <c r="K477" s="107"/>
      <c r="L477" s="149"/>
    </row>
    <row r="478" spans="1:12" x14ac:dyDescent="0.25">
      <c r="A478" s="476"/>
      <c r="B478" s="275" t="s">
        <v>504</v>
      </c>
      <c r="C478" s="276" t="s">
        <v>1964</v>
      </c>
      <c r="D478" s="276">
        <v>12</v>
      </c>
      <c r="E478" s="275">
        <v>58005228</v>
      </c>
      <c r="F478" s="275"/>
      <c r="G478" s="105" t="s">
        <v>1956</v>
      </c>
      <c r="H478" s="276">
        <v>12</v>
      </c>
      <c r="I478" s="275">
        <v>59105460</v>
      </c>
      <c r="J478" s="106"/>
      <c r="K478" s="107"/>
      <c r="L478" s="149"/>
    </row>
    <row r="479" spans="1:12" x14ac:dyDescent="0.25">
      <c r="A479" s="476"/>
      <c r="B479" s="275" t="s">
        <v>504</v>
      </c>
      <c r="C479" s="276" t="s">
        <v>1954</v>
      </c>
      <c r="D479" s="276">
        <v>12</v>
      </c>
      <c r="E479" s="275">
        <v>58006338</v>
      </c>
      <c r="F479" s="275"/>
      <c r="G479" s="105" t="s">
        <v>1956</v>
      </c>
      <c r="H479" s="276">
        <v>12</v>
      </c>
      <c r="I479" s="275">
        <v>58175631</v>
      </c>
      <c r="J479" s="106"/>
      <c r="K479" s="107"/>
      <c r="L479" s="149"/>
    </row>
    <row r="480" spans="1:12" x14ac:dyDescent="0.25">
      <c r="A480" s="476"/>
      <c r="B480" s="275" t="s">
        <v>504</v>
      </c>
      <c r="C480" s="276" t="s">
        <v>1954</v>
      </c>
      <c r="D480" s="276">
        <v>12</v>
      </c>
      <c r="E480" s="275">
        <v>58008023</v>
      </c>
      <c r="F480" s="275"/>
      <c r="G480" s="105" t="s">
        <v>1956</v>
      </c>
      <c r="H480" s="276">
        <v>12</v>
      </c>
      <c r="I480" s="275">
        <v>70222006</v>
      </c>
      <c r="J480" s="106"/>
      <c r="K480" s="107"/>
      <c r="L480" s="149"/>
    </row>
    <row r="481" spans="1:12" x14ac:dyDescent="0.25">
      <c r="A481" s="476"/>
      <c r="B481" s="275" t="s">
        <v>504</v>
      </c>
      <c r="C481" s="276" t="s">
        <v>1954</v>
      </c>
      <c r="D481" s="276">
        <v>12</v>
      </c>
      <c r="E481" s="275">
        <v>58011770</v>
      </c>
      <c r="F481" s="275"/>
      <c r="G481" s="105" t="s">
        <v>1956</v>
      </c>
      <c r="H481" s="276">
        <v>12</v>
      </c>
      <c r="I481" s="275">
        <v>69826616</v>
      </c>
      <c r="J481" s="106"/>
      <c r="K481" s="107"/>
      <c r="L481" s="149"/>
    </row>
    <row r="482" spans="1:12" x14ac:dyDescent="0.25">
      <c r="A482" s="476"/>
      <c r="B482" s="275" t="s">
        <v>504</v>
      </c>
      <c r="C482" s="276" t="s">
        <v>1960</v>
      </c>
      <c r="D482" s="276">
        <v>12</v>
      </c>
      <c r="E482" s="275">
        <v>58015446</v>
      </c>
      <c r="F482" s="275"/>
      <c r="G482" s="105" t="s">
        <v>1956</v>
      </c>
      <c r="H482" s="276">
        <v>12</v>
      </c>
      <c r="I482" s="275">
        <v>128644903</v>
      </c>
      <c r="J482" s="106"/>
      <c r="K482" s="107"/>
      <c r="L482" s="149"/>
    </row>
    <row r="483" spans="1:12" x14ac:dyDescent="0.25">
      <c r="A483" s="476"/>
      <c r="B483" s="275" t="s">
        <v>504</v>
      </c>
      <c r="C483" s="276" t="s">
        <v>1964</v>
      </c>
      <c r="D483" s="276">
        <v>12</v>
      </c>
      <c r="E483" s="275">
        <v>58019709</v>
      </c>
      <c r="F483" s="275"/>
      <c r="G483" s="105" t="s">
        <v>1956</v>
      </c>
      <c r="H483" s="276">
        <v>12</v>
      </c>
      <c r="I483" s="275">
        <v>59021912</v>
      </c>
      <c r="J483" s="106"/>
      <c r="K483" s="107"/>
      <c r="L483" s="149"/>
    </row>
    <row r="484" spans="1:12" x14ac:dyDescent="0.25">
      <c r="A484" s="476"/>
      <c r="B484" s="275" t="s">
        <v>504</v>
      </c>
      <c r="C484" s="276" t="s">
        <v>1964</v>
      </c>
      <c r="D484" s="276">
        <v>12</v>
      </c>
      <c r="E484" s="275">
        <v>58020102</v>
      </c>
      <c r="F484" s="275"/>
      <c r="G484" s="105" t="s">
        <v>1956</v>
      </c>
      <c r="H484" s="276">
        <v>12</v>
      </c>
      <c r="I484" s="275">
        <v>59034465</v>
      </c>
      <c r="J484" s="106"/>
      <c r="K484" s="107"/>
      <c r="L484" s="149"/>
    </row>
    <row r="485" spans="1:12" x14ac:dyDescent="0.25">
      <c r="A485" s="476"/>
      <c r="B485" s="275" t="s">
        <v>504</v>
      </c>
      <c r="C485" s="276" t="s">
        <v>1964</v>
      </c>
      <c r="D485" s="276">
        <v>12</v>
      </c>
      <c r="E485" s="275">
        <v>58020167</v>
      </c>
      <c r="F485" s="275"/>
      <c r="G485" s="105" t="s">
        <v>1956</v>
      </c>
      <c r="H485" s="276">
        <v>12</v>
      </c>
      <c r="I485" s="275">
        <v>71231844</v>
      </c>
      <c r="J485" s="106"/>
      <c r="K485" s="107"/>
      <c r="L485" s="149"/>
    </row>
    <row r="486" spans="1:12" x14ac:dyDescent="0.25">
      <c r="A486" s="476"/>
      <c r="B486" s="275" t="s">
        <v>504</v>
      </c>
      <c r="C486" s="276" t="s">
        <v>1964</v>
      </c>
      <c r="D486" s="276">
        <v>12</v>
      </c>
      <c r="E486" s="275">
        <v>58029916</v>
      </c>
      <c r="F486" s="275"/>
      <c r="G486" s="105" t="s">
        <v>1956</v>
      </c>
      <c r="H486" s="276">
        <v>12</v>
      </c>
      <c r="I486" s="275">
        <v>58619779</v>
      </c>
      <c r="J486" s="106"/>
      <c r="K486" s="107"/>
      <c r="L486" s="149"/>
    </row>
    <row r="487" spans="1:12" x14ac:dyDescent="0.25">
      <c r="A487" s="476"/>
      <c r="B487" s="275" t="s">
        <v>504</v>
      </c>
      <c r="C487" s="276" t="s">
        <v>1964</v>
      </c>
      <c r="D487" s="276">
        <v>12</v>
      </c>
      <c r="E487" s="275">
        <v>58029995</v>
      </c>
      <c r="F487" s="275"/>
      <c r="G487" s="105" t="s">
        <v>1956</v>
      </c>
      <c r="H487" s="276">
        <v>12</v>
      </c>
      <c r="I487" s="275">
        <v>58259953</v>
      </c>
      <c r="J487" s="106"/>
      <c r="K487" s="107"/>
      <c r="L487" s="149"/>
    </row>
    <row r="488" spans="1:12" x14ac:dyDescent="0.25">
      <c r="A488" s="476"/>
      <c r="B488" s="275" t="s">
        <v>504</v>
      </c>
      <c r="C488" s="276" t="s">
        <v>1964</v>
      </c>
      <c r="D488" s="276">
        <v>12</v>
      </c>
      <c r="E488" s="275">
        <v>58030247</v>
      </c>
      <c r="F488" s="275"/>
      <c r="G488" s="105" t="s">
        <v>1956</v>
      </c>
      <c r="H488" s="276">
        <v>12</v>
      </c>
      <c r="I488" s="275">
        <v>58953211</v>
      </c>
      <c r="J488" s="106"/>
      <c r="K488" s="107"/>
      <c r="L488" s="149"/>
    </row>
    <row r="489" spans="1:12" x14ac:dyDescent="0.25">
      <c r="A489" s="476"/>
      <c r="B489" s="275" t="s">
        <v>504</v>
      </c>
      <c r="C489" s="276" t="s">
        <v>1960</v>
      </c>
      <c r="D489" s="276">
        <v>12</v>
      </c>
      <c r="E489" s="275">
        <v>58038345</v>
      </c>
      <c r="F489" s="275"/>
      <c r="G489" s="105" t="s">
        <v>1956</v>
      </c>
      <c r="H489" s="276">
        <v>12</v>
      </c>
      <c r="I489" s="275">
        <v>70152285</v>
      </c>
      <c r="J489" s="106"/>
      <c r="K489" s="107"/>
      <c r="L489" s="149"/>
    </row>
    <row r="490" spans="1:12" x14ac:dyDescent="0.25">
      <c r="A490" s="476"/>
      <c r="B490" s="275" t="s">
        <v>504</v>
      </c>
      <c r="C490" s="276" t="s">
        <v>1954</v>
      </c>
      <c r="D490" s="276">
        <v>12</v>
      </c>
      <c r="E490" s="275">
        <v>58039288</v>
      </c>
      <c r="F490" s="275"/>
      <c r="G490" s="105" t="s">
        <v>1956</v>
      </c>
      <c r="H490" s="276">
        <v>12</v>
      </c>
      <c r="I490" s="275">
        <v>58930718</v>
      </c>
      <c r="J490" s="106"/>
      <c r="K490" s="107"/>
      <c r="L490" s="149"/>
    </row>
    <row r="491" spans="1:12" x14ac:dyDescent="0.25">
      <c r="A491" s="476"/>
      <c r="B491" s="275" t="s">
        <v>504</v>
      </c>
      <c r="C491" s="276" t="s">
        <v>1964</v>
      </c>
      <c r="D491" s="276">
        <v>12</v>
      </c>
      <c r="E491" s="275">
        <v>58039824</v>
      </c>
      <c r="F491" s="275"/>
      <c r="G491" s="105" t="s">
        <v>1956</v>
      </c>
      <c r="H491" s="276">
        <v>12</v>
      </c>
      <c r="I491" s="275">
        <v>128639301</v>
      </c>
      <c r="J491" s="106"/>
      <c r="K491" s="107"/>
      <c r="L491" s="149"/>
    </row>
    <row r="492" spans="1:12" x14ac:dyDescent="0.25">
      <c r="A492" s="476"/>
      <c r="B492" s="275" t="s">
        <v>504</v>
      </c>
      <c r="C492" s="276" t="s">
        <v>1964</v>
      </c>
      <c r="D492" s="276">
        <v>12</v>
      </c>
      <c r="E492" s="275">
        <v>58040466</v>
      </c>
      <c r="F492" s="275"/>
      <c r="G492" s="105" t="s">
        <v>1956</v>
      </c>
      <c r="H492" s="276">
        <v>12</v>
      </c>
      <c r="I492" s="275">
        <v>69525043</v>
      </c>
      <c r="J492" s="106"/>
      <c r="K492" s="107"/>
      <c r="L492" s="149"/>
    </row>
    <row r="493" spans="1:12" x14ac:dyDescent="0.25">
      <c r="A493" s="476"/>
      <c r="B493" s="275" t="s">
        <v>504</v>
      </c>
      <c r="C493" s="276" t="s">
        <v>1954</v>
      </c>
      <c r="D493" s="276">
        <v>12</v>
      </c>
      <c r="E493" s="275">
        <v>58045976</v>
      </c>
      <c r="F493" s="275"/>
      <c r="G493" s="105" t="s">
        <v>1956</v>
      </c>
      <c r="H493" s="276">
        <v>12</v>
      </c>
      <c r="I493" s="275">
        <v>58276988</v>
      </c>
      <c r="J493" s="106"/>
      <c r="K493" s="107"/>
      <c r="L493" s="149"/>
    </row>
    <row r="494" spans="1:12" x14ac:dyDescent="0.25">
      <c r="A494" s="476"/>
      <c r="B494" s="275" t="s">
        <v>504</v>
      </c>
      <c r="C494" s="276" t="s">
        <v>1964</v>
      </c>
      <c r="D494" s="276">
        <v>12</v>
      </c>
      <c r="E494" s="275">
        <v>58048304</v>
      </c>
      <c r="F494" s="275"/>
      <c r="G494" s="105" t="s">
        <v>1956</v>
      </c>
      <c r="H494" s="276">
        <v>12</v>
      </c>
      <c r="I494" s="275">
        <v>70012057</v>
      </c>
      <c r="J494" s="106"/>
      <c r="K494" s="107"/>
      <c r="L494" s="149"/>
    </row>
    <row r="495" spans="1:12" x14ac:dyDescent="0.25">
      <c r="A495" s="476"/>
      <c r="B495" s="275" t="s">
        <v>504</v>
      </c>
      <c r="C495" s="276" t="s">
        <v>1960</v>
      </c>
      <c r="D495" s="276">
        <v>12</v>
      </c>
      <c r="E495" s="275">
        <v>58050188</v>
      </c>
      <c r="F495" s="275"/>
      <c r="G495" s="105" t="s">
        <v>1956</v>
      </c>
      <c r="H495" s="276">
        <v>12</v>
      </c>
      <c r="I495" s="275">
        <v>70200214</v>
      </c>
      <c r="J495" s="106"/>
      <c r="K495" s="107"/>
      <c r="L495" s="149"/>
    </row>
    <row r="496" spans="1:12" x14ac:dyDescent="0.25">
      <c r="A496" s="476"/>
      <c r="B496" s="275" t="s">
        <v>504</v>
      </c>
      <c r="C496" s="276" t="s">
        <v>1964</v>
      </c>
      <c r="D496" s="276">
        <v>12</v>
      </c>
      <c r="E496" s="275">
        <v>58050205</v>
      </c>
      <c r="F496" s="275"/>
      <c r="G496" s="105" t="s">
        <v>1956</v>
      </c>
      <c r="H496" s="276">
        <v>12</v>
      </c>
      <c r="I496" s="275">
        <v>128537579</v>
      </c>
      <c r="J496" s="106"/>
      <c r="K496" s="107"/>
      <c r="L496" s="149"/>
    </row>
    <row r="497" spans="1:12" x14ac:dyDescent="0.25">
      <c r="A497" s="476"/>
      <c r="B497" s="275" t="s">
        <v>504</v>
      </c>
      <c r="C497" s="276" t="s">
        <v>1960</v>
      </c>
      <c r="D497" s="276">
        <v>12</v>
      </c>
      <c r="E497" s="275">
        <v>58054163</v>
      </c>
      <c r="F497" s="275"/>
      <c r="G497" s="105" t="s">
        <v>1956</v>
      </c>
      <c r="H497" s="276">
        <v>12</v>
      </c>
      <c r="I497" s="275">
        <v>58159037</v>
      </c>
      <c r="J497" s="106"/>
      <c r="K497" s="107"/>
      <c r="L497" s="149"/>
    </row>
    <row r="498" spans="1:12" x14ac:dyDescent="0.25">
      <c r="A498" s="476"/>
      <c r="B498" s="275" t="s">
        <v>504</v>
      </c>
      <c r="C498" s="276" t="s">
        <v>1954</v>
      </c>
      <c r="D498" s="276">
        <v>12</v>
      </c>
      <c r="E498" s="275">
        <v>58054339</v>
      </c>
      <c r="F498" s="275"/>
      <c r="G498" s="105" t="s">
        <v>1956</v>
      </c>
      <c r="H498" s="276">
        <v>12</v>
      </c>
      <c r="I498" s="275">
        <v>128628890</v>
      </c>
      <c r="J498" s="106"/>
      <c r="K498" s="107"/>
      <c r="L498" s="149"/>
    </row>
    <row r="499" spans="1:12" x14ac:dyDescent="0.25">
      <c r="A499" s="476"/>
      <c r="B499" s="275" t="s">
        <v>504</v>
      </c>
      <c r="C499" s="276" t="s">
        <v>1960</v>
      </c>
      <c r="D499" s="276">
        <v>12</v>
      </c>
      <c r="E499" s="275">
        <v>58056288</v>
      </c>
      <c r="F499" s="275"/>
      <c r="G499" s="105" t="s">
        <v>1956</v>
      </c>
      <c r="H499" s="276">
        <v>12</v>
      </c>
      <c r="I499" s="275">
        <v>70963594</v>
      </c>
      <c r="J499" s="106"/>
      <c r="K499" s="107"/>
      <c r="L499" s="149"/>
    </row>
    <row r="500" spans="1:12" x14ac:dyDescent="0.25">
      <c r="A500" s="476"/>
      <c r="B500" s="275" t="s">
        <v>504</v>
      </c>
      <c r="C500" s="276" t="s">
        <v>1954</v>
      </c>
      <c r="D500" s="276">
        <v>12</v>
      </c>
      <c r="E500" s="275">
        <v>58057053</v>
      </c>
      <c r="F500" s="275"/>
      <c r="G500" s="105" t="s">
        <v>1956</v>
      </c>
      <c r="H500" s="276">
        <v>12</v>
      </c>
      <c r="I500" s="275">
        <v>69407845</v>
      </c>
      <c r="J500" s="106"/>
      <c r="K500" s="107"/>
      <c r="L500" s="149"/>
    </row>
    <row r="501" spans="1:12" x14ac:dyDescent="0.25">
      <c r="A501" s="476"/>
      <c r="B501" s="275" t="s">
        <v>504</v>
      </c>
      <c r="C501" s="276" t="s">
        <v>1954</v>
      </c>
      <c r="D501" s="276">
        <v>12</v>
      </c>
      <c r="E501" s="275">
        <v>58059454</v>
      </c>
      <c r="F501" s="275"/>
      <c r="G501" s="105" t="s">
        <v>1956</v>
      </c>
      <c r="H501" s="276">
        <v>12</v>
      </c>
      <c r="I501" s="275">
        <v>69770188</v>
      </c>
      <c r="J501" s="106"/>
      <c r="K501" s="107"/>
      <c r="L501" s="149"/>
    </row>
    <row r="502" spans="1:12" x14ac:dyDescent="0.25">
      <c r="A502" s="476"/>
      <c r="B502" s="275" t="s">
        <v>504</v>
      </c>
      <c r="C502" s="276" t="s">
        <v>1964</v>
      </c>
      <c r="D502" s="276">
        <v>12</v>
      </c>
      <c r="E502" s="275">
        <v>58059537</v>
      </c>
      <c r="F502" s="275"/>
      <c r="G502" s="105" t="s">
        <v>1956</v>
      </c>
      <c r="H502" s="276">
        <v>12</v>
      </c>
      <c r="I502" s="275">
        <v>70950808</v>
      </c>
      <c r="J502" s="106"/>
      <c r="K502" s="107"/>
      <c r="L502" s="149"/>
    </row>
    <row r="503" spans="1:12" x14ac:dyDescent="0.25">
      <c r="A503" s="476"/>
      <c r="B503" s="275" t="s">
        <v>504</v>
      </c>
      <c r="C503" s="276" t="s">
        <v>1954</v>
      </c>
      <c r="D503" s="276">
        <v>12</v>
      </c>
      <c r="E503" s="275">
        <v>58060427</v>
      </c>
      <c r="F503" s="275"/>
      <c r="G503" s="105" t="s">
        <v>1956</v>
      </c>
      <c r="H503" s="276">
        <v>12</v>
      </c>
      <c r="I503" s="275">
        <v>69928190</v>
      </c>
      <c r="J503" s="106"/>
      <c r="K503" s="107"/>
      <c r="L503" s="149"/>
    </row>
    <row r="504" spans="1:12" x14ac:dyDescent="0.25">
      <c r="A504" s="476"/>
      <c r="B504" s="275" t="s">
        <v>504</v>
      </c>
      <c r="C504" s="276" t="s">
        <v>1964</v>
      </c>
      <c r="D504" s="276">
        <v>12</v>
      </c>
      <c r="E504" s="275">
        <v>58062783</v>
      </c>
      <c r="F504" s="275"/>
      <c r="G504" s="105" t="s">
        <v>1956</v>
      </c>
      <c r="H504" s="276">
        <v>12</v>
      </c>
      <c r="I504" s="275">
        <v>59181649</v>
      </c>
      <c r="J504" s="106"/>
      <c r="K504" s="107"/>
      <c r="L504" s="149"/>
    </row>
    <row r="505" spans="1:12" x14ac:dyDescent="0.25">
      <c r="A505" s="476"/>
      <c r="B505" s="275" t="s">
        <v>504</v>
      </c>
      <c r="C505" s="276" t="s">
        <v>1960</v>
      </c>
      <c r="D505" s="276">
        <v>12</v>
      </c>
      <c r="E505" s="275">
        <v>58063901</v>
      </c>
      <c r="F505" s="275"/>
      <c r="G505" s="105" t="s">
        <v>1956</v>
      </c>
      <c r="H505" s="276">
        <v>12</v>
      </c>
      <c r="I505" s="275">
        <v>69531917</v>
      </c>
      <c r="J505" s="106"/>
      <c r="K505" s="107"/>
      <c r="L505" s="149"/>
    </row>
    <row r="506" spans="1:12" x14ac:dyDescent="0.25">
      <c r="A506" s="476"/>
      <c r="B506" s="275" t="s">
        <v>504</v>
      </c>
      <c r="C506" s="276" t="s">
        <v>1964</v>
      </c>
      <c r="D506" s="276">
        <v>12</v>
      </c>
      <c r="E506" s="275">
        <v>58067193</v>
      </c>
      <c r="F506" s="275"/>
      <c r="G506" s="105" t="s">
        <v>1956</v>
      </c>
      <c r="H506" s="276">
        <v>12</v>
      </c>
      <c r="I506" s="275">
        <v>69795617</v>
      </c>
      <c r="J506" s="106"/>
      <c r="K506" s="107"/>
      <c r="L506" s="149"/>
    </row>
    <row r="507" spans="1:12" x14ac:dyDescent="0.25">
      <c r="A507" s="476"/>
      <c r="B507" s="275" t="s">
        <v>504</v>
      </c>
      <c r="C507" s="276" t="s">
        <v>1964</v>
      </c>
      <c r="D507" s="276">
        <v>12</v>
      </c>
      <c r="E507" s="275">
        <v>58069381</v>
      </c>
      <c r="F507" s="275"/>
      <c r="G507" s="105" t="s">
        <v>1956</v>
      </c>
      <c r="H507" s="276">
        <v>12</v>
      </c>
      <c r="I507" s="275">
        <v>69746825</v>
      </c>
      <c r="J507" s="106"/>
      <c r="K507" s="107"/>
      <c r="L507" s="149"/>
    </row>
    <row r="508" spans="1:12" x14ac:dyDescent="0.25">
      <c r="A508" s="476"/>
      <c r="B508" s="275" t="s">
        <v>504</v>
      </c>
      <c r="C508" s="276" t="s">
        <v>1960</v>
      </c>
      <c r="D508" s="276">
        <v>12</v>
      </c>
      <c r="E508" s="275">
        <v>58069569</v>
      </c>
      <c r="F508" s="275"/>
      <c r="G508" s="105" t="s">
        <v>1956</v>
      </c>
      <c r="H508" s="276">
        <v>12</v>
      </c>
      <c r="I508" s="275">
        <v>71071872</v>
      </c>
      <c r="J508" s="106"/>
      <c r="K508" s="107"/>
      <c r="L508" s="149"/>
    </row>
    <row r="509" spans="1:12" x14ac:dyDescent="0.25">
      <c r="A509" s="476"/>
      <c r="B509" s="275" t="s">
        <v>504</v>
      </c>
      <c r="C509" s="276" t="s">
        <v>1960</v>
      </c>
      <c r="D509" s="276">
        <v>12</v>
      </c>
      <c r="E509" s="275">
        <v>58073378</v>
      </c>
      <c r="F509" s="275"/>
      <c r="G509" s="105" t="s">
        <v>1956</v>
      </c>
      <c r="H509" s="276">
        <v>12</v>
      </c>
      <c r="I509" s="275">
        <v>58356553</v>
      </c>
      <c r="J509" s="106"/>
      <c r="K509" s="107"/>
      <c r="L509" s="149"/>
    </row>
    <row r="510" spans="1:12" x14ac:dyDescent="0.25">
      <c r="A510" s="476"/>
      <c r="B510" s="275" t="s">
        <v>504</v>
      </c>
      <c r="C510" s="276" t="s">
        <v>1954</v>
      </c>
      <c r="D510" s="276">
        <v>12</v>
      </c>
      <c r="E510" s="275">
        <v>58079131</v>
      </c>
      <c r="F510" s="275"/>
      <c r="G510" s="105" t="s">
        <v>1956</v>
      </c>
      <c r="H510" s="276">
        <v>12</v>
      </c>
      <c r="I510" s="275">
        <v>69491088</v>
      </c>
      <c r="J510" s="106"/>
      <c r="K510" s="107"/>
      <c r="L510" s="149"/>
    </row>
    <row r="511" spans="1:12" x14ac:dyDescent="0.25">
      <c r="A511" s="476"/>
      <c r="B511" s="275" t="s">
        <v>504</v>
      </c>
      <c r="C511" s="276" t="s">
        <v>1960</v>
      </c>
      <c r="D511" s="276">
        <v>12</v>
      </c>
      <c r="E511" s="275">
        <v>58080611</v>
      </c>
      <c r="F511" s="275"/>
      <c r="G511" s="105" t="s">
        <v>1956</v>
      </c>
      <c r="H511" s="276">
        <v>12</v>
      </c>
      <c r="I511" s="275">
        <v>58242686</v>
      </c>
      <c r="J511" s="106"/>
      <c r="K511" s="107"/>
      <c r="L511" s="149"/>
    </row>
    <row r="512" spans="1:12" x14ac:dyDescent="0.25">
      <c r="A512" s="476"/>
      <c r="B512" s="275" t="s">
        <v>504</v>
      </c>
      <c r="C512" s="276" t="s">
        <v>1964</v>
      </c>
      <c r="D512" s="276">
        <v>12</v>
      </c>
      <c r="E512" s="275">
        <v>58083715</v>
      </c>
      <c r="F512" s="275"/>
      <c r="G512" s="105" t="s">
        <v>1956</v>
      </c>
      <c r="H512" s="276">
        <v>12</v>
      </c>
      <c r="I512" s="275">
        <v>58266473</v>
      </c>
      <c r="J512" s="106"/>
      <c r="K512" s="107"/>
      <c r="L512" s="149"/>
    </row>
    <row r="513" spans="1:12" x14ac:dyDescent="0.25">
      <c r="A513" s="476"/>
      <c r="B513" s="275" t="s">
        <v>504</v>
      </c>
      <c r="C513" s="276" t="s">
        <v>1954</v>
      </c>
      <c r="D513" s="276">
        <v>12</v>
      </c>
      <c r="E513" s="275">
        <v>58085537</v>
      </c>
      <c r="F513" s="275"/>
      <c r="G513" s="105" t="s">
        <v>1956</v>
      </c>
      <c r="H513" s="276">
        <v>12</v>
      </c>
      <c r="I513" s="275">
        <v>70136697</v>
      </c>
      <c r="J513" s="106"/>
      <c r="K513" s="107"/>
      <c r="L513" s="149"/>
    </row>
    <row r="514" spans="1:12" x14ac:dyDescent="0.25">
      <c r="A514" s="476"/>
      <c r="B514" s="275" t="s">
        <v>504</v>
      </c>
      <c r="C514" s="276" t="s">
        <v>1964</v>
      </c>
      <c r="D514" s="276">
        <v>12</v>
      </c>
      <c r="E514" s="275">
        <v>58088492</v>
      </c>
      <c r="F514" s="275"/>
      <c r="G514" s="105" t="s">
        <v>1956</v>
      </c>
      <c r="H514" s="276">
        <v>12</v>
      </c>
      <c r="I514" s="275">
        <v>128136842</v>
      </c>
      <c r="J514" s="106"/>
      <c r="K514" s="107"/>
      <c r="L514" s="149"/>
    </row>
    <row r="515" spans="1:12" x14ac:dyDescent="0.25">
      <c r="A515" s="476"/>
      <c r="B515" s="275" t="s">
        <v>504</v>
      </c>
      <c r="C515" s="276" t="s">
        <v>1960</v>
      </c>
      <c r="D515" s="276">
        <v>12</v>
      </c>
      <c r="E515" s="275">
        <v>58088773</v>
      </c>
      <c r="F515" s="275"/>
      <c r="G515" s="105" t="s">
        <v>1956</v>
      </c>
      <c r="H515" s="276">
        <v>12</v>
      </c>
      <c r="I515" s="275">
        <v>128603568</v>
      </c>
      <c r="J515" s="106"/>
      <c r="K515" s="107"/>
      <c r="L515" s="149"/>
    </row>
    <row r="516" spans="1:12" x14ac:dyDescent="0.25">
      <c r="A516" s="476"/>
      <c r="B516" s="275" t="s">
        <v>504</v>
      </c>
      <c r="C516" s="276" t="s">
        <v>1960</v>
      </c>
      <c r="D516" s="276">
        <v>12</v>
      </c>
      <c r="E516" s="275">
        <v>58092107</v>
      </c>
      <c r="F516" s="275"/>
      <c r="G516" s="105" t="s">
        <v>1956</v>
      </c>
      <c r="H516" s="276">
        <v>12</v>
      </c>
      <c r="I516" s="275">
        <v>59125677</v>
      </c>
      <c r="J516" s="106"/>
      <c r="K516" s="107"/>
      <c r="L516" s="149"/>
    </row>
    <row r="517" spans="1:12" x14ac:dyDescent="0.25">
      <c r="A517" s="476"/>
      <c r="B517" s="275" t="s">
        <v>504</v>
      </c>
      <c r="C517" s="276" t="s">
        <v>1960</v>
      </c>
      <c r="D517" s="276">
        <v>12</v>
      </c>
      <c r="E517" s="275">
        <v>58092143</v>
      </c>
      <c r="F517" s="275"/>
      <c r="G517" s="105" t="s">
        <v>1956</v>
      </c>
      <c r="H517" s="276">
        <v>12</v>
      </c>
      <c r="I517" s="275">
        <v>59125676</v>
      </c>
      <c r="J517" s="106"/>
      <c r="K517" s="107"/>
      <c r="L517" s="149"/>
    </row>
    <row r="518" spans="1:12" x14ac:dyDescent="0.25">
      <c r="A518" s="476"/>
      <c r="B518" s="275" t="s">
        <v>504</v>
      </c>
      <c r="C518" s="276" t="s">
        <v>1954</v>
      </c>
      <c r="D518" s="276">
        <v>12</v>
      </c>
      <c r="E518" s="275">
        <v>58094830</v>
      </c>
      <c r="F518" s="275"/>
      <c r="G518" s="105" t="s">
        <v>1956</v>
      </c>
      <c r="H518" s="276">
        <v>12</v>
      </c>
      <c r="I518" s="275">
        <v>71224863</v>
      </c>
      <c r="J518" s="106"/>
      <c r="K518" s="107"/>
      <c r="L518" s="149"/>
    </row>
    <row r="519" spans="1:12" x14ac:dyDescent="0.25">
      <c r="A519" s="476"/>
      <c r="B519" s="275" t="s">
        <v>504</v>
      </c>
      <c r="C519" s="276" t="s">
        <v>1964</v>
      </c>
      <c r="D519" s="276">
        <v>12</v>
      </c>
      <c r="E519" s="275">
        <v>58096822</v>
      </c>
      <c r="F519" s="275"/>
      <c r="G519" s="105" t="s">
        <v>1956</v>
      </c>
      <c r="H519" s="276">
        <v>12</v>
      </c>
      <c r="I519" s="275">
        <v>58583903</v>
      </c>
      <c r="J519" s="106"/>
      <c r="K519" s="107"/>
      <c r="L519" s="149"/>
    </row>
    <row r="520" spans="1:12" x14ac:dyDescent="0.25">
      <c r="A520" s="476"/>
      <c r="B520" s="275" t="s">
        <v>504</v>
      </c>
      <c r="C520" s="276" t="s">
        <v>1954</v>
      </c>
      <c r="D520" s="276">
        <v>12</v>
      </c>
      <c r="E520" s="275">
        <v>58097176</v>
      </c>
      <c r="F520" s="275"/>
      <c r="G520" s="105" t="s">
        <v>1956</v>
      </c>
      <c r="H520" s="276">
        <v>12</v>
      </c>
      <c r="I520" s="275">
        <v>70234578</v>
      </c>
      <c r="J520" s="106"/>
      <c r="K520" s="107"/>
      <c r="L520" s="149"/>
    </row>
    <row r="521" spans="1:12" x14ac:dyDescent="0.25">
      <c r="A521" s="476"/>
      <c r="B521" s="275" t="s">
        <v>504</v>
      </c>
      <c r="C521" s="276" t="s">
        <v>1964</v>
      </c>
      <c r="D521" s="276">
        <v>12</v>
      </c>
      <c r="E521" s="275">
        <v>58097573</v>
      </c>
      <c r="F521" s="275"/>
      <c r="G521" s="105" t="s">
        <v>1956</v>
      </c>
      <c r="H521" s="276">
        <v>12</v>
      </c>
      <c r="I521" s="275">
        <v>59020434</v>
      </c>
      <c r="J521" s="106"/>
      <c r="K521" s="107"/>
      <c r="L521" s="149"/>
    </row>
    <row r="522" spans="1:12" x14ac:dyDescent="0.25">
      <c r="A522" s="476"/>
      <c r="B522" s="275" t="s">
        <v>504</v>
      </c>
      <c r="C522" s="276" t="s">
        <v>1964</v>
      </c>
      <c r="D522" s="276">
        <v>12</v>
      </c>
      <c r="E522" s="275">
        <v>58097861</v>
      </c>
      <c r="F522" s="275"/>
      <c r="G522" s="105" t="s">
        <v>1956</v>
      </c>
      <c r="H522" s="276">
        <v>12</v>
      </c>
      <c r="I522" s="275">
        <v>70443751</v>
      </c>
      <c r="J522" s="106"/>
      <c r="K522" s="107"/>
      <c r="L522" s="149"/>
    </row>
    <row r="523" spans="1:12" x14ac:dyDescent="0.25">
      <c r="A523" s="476"/>
      <c r="B523" s="275" t="s">
        <v>504</v>
      </c>
      <c r="C523" s="276" t="s">
        <v>1964</v>
      </c>
      <c r="D523" s="276">
        <v>12</v>
      </c>
      <c r="E523" s="275">
        <v>58100126</v>
      </c>
      <c r="F523" s="275"/>
      <c r="G523" s="105" t="s">
        <v>1956</v>
      </c>
      <c r="H523" s="276">
        <v>12</v>
      </c>
      <c r="I523" s="275">
        <v>58761304</v>
      </c>
      <c r="J523" s="106"/>
      <c r="K523" s="107"/>
      <c r="L523" s="149"/>
    </row>
    <row r="524" spans="1:12" x14ac:dyDescent="0.25">
      <c r="A524" s="476"/>
      <c r="B524" s="275" t="s">
        <v>504</v>
      </c>
      <c r="C524" s="276" t="s">
        <v>1964</v>
      </c>
      <c r="D524" s="276">
        <v>12</v>
      </c>
      <c r="E524" s="275">
        <v>58104635</v>
      </c>
      <c r="F524" s="275"/>
      <c r="G524" s="105" t="s">
        <v>1956</v>
      </c>
      <c r="H524" s="276">
        <v>12</v>
      </c>
      <c r="I524" s="275">
        <v>58147040</v>
      </c>
      <c r="J524" s="106"/>
      <c r="K524" s="107"/>
      <c r="L524" s="149"/>
    </row>
    <row r="525" spans="1:12" x14ac:dyDescent="0.25">
      <c r="A525" s="476"/>
      <c r="B525" s="275" t="s">
        <v>504</v>
      </c>
      <c r="C525" s="276" t="s">
        <v>1960</v>
      </c>
      <c r="D525" s="276">
        <v>12</v>
      </c>
      <c r="E525" s="275">
        <v>58105466</v>
      </c>
      <c r="F525" s="275"/>
      <c r="G525" s="105" t="s">
        <v>1956</v>
      </c>
      <c r="H525" s="276">
        <v>12</v>
      </c>
      <c r="I525" s="275">
        <v>70028112</v>
      </c>
      <c r="J525" s="106"/>
      <c r="K525" s="107"/>
      <c r="L525" s="149"/>
    </row>
    <row r="526" spans="1:12" x14ac:dyDescent="0.25">
      <c r="A526" s="476"/>
      <c r="B526" s="275" t="s">
        <v>504</v>
      </c>
      <c r="C526" s="276" t="s">
        <v>1960</v>
      </c>
      <c r="D526" s="276">
        <v>12</v>
      </c>
      <c r="E526" s="275">
        <v>58106600</v>
      </c>
      <c r="F526" s="275"/>
      <c r="G526" s="105" t="s">
        <v>1956</v>
      </c>
      <c r="H526" s="276">
        <v>12</v>
      </c>
      <c r="I526" s="275">
        <v>69676825</v>
      </c>
      <c r="J526" s="106"/>
      <c r="K526" s="107"/>
      <c r="L526" s="149"/>
    </row>
    <row r="527" spans="1:12" x14ac:dyDescent="0.25">
      <c r="A527" s="476"/>
      <c r="B527" s="275" t="s">
        <v>504</v>
      </c>
      <c r="C527" s="276" t="s">
        <v>1960</v>
      </c>
      <c r="D527" s="276">
        <v>12</v>
      </c>
      <c r="E527" s="275">
        <v>58108758</v>
      </c>
      <c r="F527" s="275"/>
      <c r="G527" s="105" t="s">
        <v>1956</v>
      </c>
      <c r="H527" s="276">
        <v>12</v>
      </c>
      <c r="I527" s="275">
        <v>70263732</v>
      </c>
      <c r="J527" s="106"/>
      <c r="K527" s="107"/>
      <c r="L527" s="149"/>
    </row>
    <row r="528" spans="1:12" x14ac:dyDescent="0.25">
      <c r="A528" s="476"/>
      <c r="B528" s="275" t="s">
        <v>504</v>
      </c>
      <c r="C528" s="276" t="s">
        <v>1954</v>
      </c>
      <c r="D528" s="276">
        <v>12</v>
      </c>
      <c r="E528" s="275">
        <v>58109367</v>
      </c>
      <c r="F528" s="275"/>
      <c r="G528" s="105" t="s">
        <v>1956</v>
      </c>
      <c r="H528" s="276">
        <v>12</v>
      </c>
      <c r="I528" s="275">
        <v>58737112</v>
      </c>
      <c r="J528" s="106"/>
      <c r="K528" s="107"/>
      <c r="L528" s="149"/>
    </row>
    <row r="529" spans="1:12" x14ac:dyDescent="0.25">
      <c r="A529" s="476"/>
      <c r="B529" s="275" t="s">
        <v>504</v>
      </c>
      <c r="C529" s="276" t="s">
        <v>1964</v>
      </c>
      <c r="D529" s="276">
        <v>12</v>
      </c>
      <c r="E529" s="275">
        <v>58111478</v>
      </c>
      <c r="F529" s="275"/>
      <c r="G529" s="105" t="s">
        <v>1956</v>
      </c>
      <c r="H529" s="276">
        <v>12</v>
      </c>
      <c r="I529" s="275">
        <v>69486005</v>
      </c>
      <c r="J529" s="106"/>
      <c r="K529" s="107"/>
      <c r="L529" s="149"/>
    </row>
    <row r="530" spans="1:12" x14ac:dyDescent="0.25">
      <c r="A530" s="476"/>
      <c r="B530" s="275" t="s">
        <v>504</v>
      </c>
      <c r="C530" s="276" t="s">
        <v>1960</v>
      </c>
      <c r="D530" s="276">
        <v>12</v>
      </c>
      <c r="E530" s="275">
        <v>58111502</v>
      </c>
      <c r="F530" s="275"/>
      <c r="G530" s="105" t="s">
        <v>1956</v>
      </c>
      <c r="H530" s="276">
        <v>12</v>
      </c>
      <c r="I530" s="275">
        <v>128549046</v>
      </c>
      <c r="J530" s="106"/>
      <c r="K530" s="107"/>
      <c r="L530" s="149"/>
    </row>
    <row r="531" spans="1:12" x14ac:dyDescent="0.25">
      <c r="A531" s="476"/>
      <c r="B531" s="275" t="s">
        <v>504</v>
      </c>
      <c r="C531" s="276" t="s">
        <v>1954</v>
      </c>
      <c r="D531" s="276">
        <v>12</v>
      </c>
      <c r="E531" s="275">
        <v>58113547</v>
      </c>
      <c r="F531" s="275"/>
      <c r="G531" s="105" t="s">
        <v>1956</v>
      </c>
      <c r="H531" s="276">
        <v>12</v>
      </c>
      <c r="I531" s="275">
        <v>128484650</v>
      </c>
      <c r="J531" s="106"/>
      <c r="K531" s="107"/>
      <c r="L531" s="149"/>
    </row>
    <row r="532" spans="1:12" x14ac:dyDescent="0.25">
      <c r="A532" s="476"/>
      <c r="B532" s="275" t="s">
        <v>504</v>
      </c>
      <c r="C532" s="276" t="s">
        <v>1964</v>
      </c>
      <c r="D532" s="276">
        <v>12</v>
      </c>
      <c r="E532" s="275">
        <v>58113957</v>
      </c>
      <c r="F532" s="275"/>
      <c r="G532" s="105" t="s">
        <v>1956</v>
      </c>
      <c r="H532" s="276">
        <v>12</v>
      </c>
      <c r="I532" s="275">
        <v>58123542</v>
      </c>
      <c r="J532" s="106"/>
      <c r="K532" s="107"/>
      <c r="L532" s="149"/>
    </row>
    <row r="533" spans="1:12" x14ac:dyDescent="0.25">
      <c r="A533" s="476"/>
      <c r="B533" s="275" t="s">
        <v>504</v>
      </c>
      <c r="C533" s="276" t="s">
        <v>1960</v>
      </c>
      <c r="D533" s="276">
        <v>12</v>
      </c>
      <c r="E533" s="275">
        <v>58115216</v>
      </c>
      <c r="F533" s="275"/>
      <c r="G533" s="105" t="s">
        <v>1956</v>
      </c>
      <c r="H533" s="276">
        <v>12</v>
      </c>
      <c r="I533" s="275">
        <v>59011894</v>
      </c>
      <c r="J533" s="106"/>
      <c r="K533" s="107"/>
      <c r="L533" s="149"/>
    </row>
    <row r="534" spans="1:12" x14ac:dyDescent="0.25">
      <c r="A534" s="476"/>
      <c r="B534" s="275" t="s">
        <v>504</v>
      </c>
      <c r="C534" s="276" t="s">
        <v>1954</v>
      </c>
      <c r="D534" s="276">
        <v>12</v>
      </c>
      <c r="E534" s="275">
        <v>58116160</v>
      </c>
      <c r="F534" s="275"/>
      <c r="G534" s="105" t="s">
        <v>1956</v>
      </c>
      <c r="H534" s="276">
        <v>12</v>
      </c>
      <c r="I534" s="275">
        <v>69983734</v>
      </c>
      <c r="J534" s="106"/>
      <c r="K534" s="107"/>
      <c r="L534" s="149"/>
    </row>
    <row r="535" spans="1:12" x14ac:dyDescent="0.25">
      <c r="A535" s="476"/>
      <c r="B535" s="275" t="s">
        <v>504</v>
      </c>
      <c r="C535" s="276" t="s">
        <v>1964</v>
      </c>
      <c r="D535" s="276">
        <v>12</v>
      </c>
      <c r="E535" s="275">
        <v>58117017</v>
      </c>
      <c r="F535" s="275"/>
      <c r="G535" s="105" t="s">
        <v>1956</v>
      </c>
      <c r="H535" s="276">
        <v>12</v>
      </c>
      <c r="I535" s="275">
        <v>58893941</v>
      </c>
      <c r="J535" s="106"/>
      <c r="K535" s="107"/>
      <c r="L535" s="149"/>
    </row>
    <row r="536" spans="1:12" x14ac:dyDescent="0.25">
      <c r="A536" s="476"/>
      <c r="B536" s="275" t="s">
        <v>504</v>
      </c>
      <c r="C536" s="276" t="s">
        <v>1964</v>
      </c>
      <c r="D536" s="276">
        <v>12</v>
      </c>
      <c r="E536" s="275">
        <v>58118280</v>
      </c>
      <c r="F536" s="275"/>
      <c r="G536" s="105" t="s">
        <v>1956</v>
      </c>
      <c r="H536" s="276">
        <v>12</v>
      </c>
      <c r="I536" s="275">
        <v>59074429</v>
      </c>
      <c r="J536" s="106"/>
      <c r="K536" s="107"/>
      <c r="L536" s="149"/>
    </row>
    <row r="537" spans="1:12" x14ac:dyDescent="0.25">
      <c r="A537" s="476"/>
      <c r="B537" s="275" t="s">
        <v>504</v>
      </c>
      <c r="C537" s="276" t="s">
        <v>1954</v>
      </c>
      <c r="D537" s="276">
        <v>12</v>
      </c>
      <c r="E537" s="275">
        <v>58118281</v>
      </c>
      <c r="F537" s="275"/>
      <c r="G537" s="105" t="s">
        <v>1956</v>
      </c>
      <c r="H537" s="276">
        <v>12</v>
      </c>
      <c r="I537" s="275">
        <v>58290380</v>
      </c>
      <c r="J537" s="106"/>
      <c r="K537" s="107"/>
      <c r="L537" s="149"/>
    </row>
    <row r="538" spans="1:12" x14ac:dyDescent="0.25">
      <c r="A538" s="476"/>
      <c r="B538" s="275" t="s">
        <v>504</v>
      </c>
      <c r="C538" s="276" t="s">
        <v>1964</v>
      </c>
      <c r="D538" s="276">
        <v>12</v>
      </c>
      <c r="E538" s="275">
        <v>58118673</v>
      </c>
      <c r="F538" s="275"/>
      <c r="G538" s="105" t="s">
        <v>1956</v>
      </c>
      <c r="H538" s="276">
        <v>12</v>
      </c>
      <c r="I538" s="275">
        <v>128649852</v>
      </c>
      <c r="J538" s="106"/>
      <c r="K538" s="107"/>
      <c r="L538" s="149"/>
    </row>
    <row r="539" spans="1:12" x14ac:dyDescent="0.25">
      <c r="A539" s="476"/>
      <c r="B539" s="275" t="s">
        <v>504</v>
      </c>
      <c r="C539" s="276" t="s">
        <v>1964</v>
      </c>
      <c r="D539" s="276">
        <v>12</v>
      </c>
      <c r="E539" s="275">
        <v>58120336</v>
      </c>
      <c r="F539" s="275"/>
      <c r="G539" s="105" t="s">
        <v>1956</v>
      </c>
      <c r="H539" s="276">
        <v>12</v>
      </c>
      <c r="I539" s="275">
        <v>69729164</v>
      </c>
      <c r="J539" s="106"/>
      <c r="K539" s="107"/>
      <c r="L539" s="149"/>
    </row>
    <row r="540" spans="1:12" x14ac:dyDescent="0.25">
      <c r="A540" s="476"/>
      <c r="B540" s="275" t="s">
        <v>504</v>
      </c>
      <c r="C540" s="276" t="s">
        <v>1964</v>
      </c>
      <c r="D540" s="276">
        <v>12</v>
      </c>
      <c r="E540" s="275">
        <v>58120683</v>
      </c>
      <c r="F540" s="275"/>
      <c r="G540" s="105" t="s">
        <v>1956</v>
      </c>
      <c r="H540" s="276">
        <v>12</v>
      </c>
      <c r="I540" s="275">
        <v>128540528</v>
      </c>
      <c r="J540" s="106"/>
      <c r="K540" s="107"/>
      <c r="L540" s="149"/>
    </row>
    <row r="541" spans="1:12" x14ac:dyDescent="0.25">
      <c r="A541" s="476"/>
      <c r="B541" s="275" t="s">
        <v>504</v>
      </c>
      <c r="C541" s="276" t="s">
        <v>1954</v>
      </c>
      <c r="D541" s="276">
        <v>12</v>
      </c>
      <c r="E541" s="275">
        <v>58122343</v>
      </c>
      <c r="F541" s="275"/>
      <c r="G541" s="105" t="s">
        <v>1956</v>
      </c>
      <c r="H541" s="276">
        <v>12</v>
      </c>
      <c r="I541" s="275">
        <v>128599273</v>
      </c>
      <c r="J541" s="106"/>
      <c r="K541" s="107"/>
      <c r="L541" s="149"/>
    </row>
    <row r="542" spans="1:12" x14ac:dyDescent="0.25">
      <c r="A542" s="476"/>
      <c r="B542" s="275" t="s">
        <v>504</v>
      </c>
      <c r="C542" s="276" t="s">
        <v>1964</v>
      </c>
      <c r="D542" s="276">
        <v>12</v>
      </c>
      <c r="E542" s="275">
        <v>58122630</v>
      </c>
      <c r="F542" s="275"/>
      <c r="G542" s="105" t="s">
        <v>1956</v>
      </c>
      <c r="H542" s="276">
        <v>12</v>
      </c>
      <c r="I542" s="275">
        <v>69692050</v>
      </c>
      <c r="J542" s="106"/>
      <c r="K542" s="107"/>
      <c r="L542" s="149"/>
    </row>
    <row r="543" spans="1:12" x14ac:dyDescent="0.25">
      <c r="A543" s="476"/>
      <c r="B543" s="275" t="s">
        <v>504</v>
      </c>
      <c r="C543" s="276" t="s">
        <v>1964</v>
      </c>
      <c r="D543" s="276">
        <v>12</v>
      </c>
      <c r="E543" s="275">
        <v>58122693</v>
      </c>
      <c r="F543" s="275"/>
      <c r="G543" s="105" t="s">
        <v>1956</v>
      </c>
      <c r="H543" s="276">
        <v>12</v>
      </c>
      <c r="I543" s="275">
        <v>69795633</v>
      </c>
      <c r="J543" s="106"/>
      <c r="K543" s="107"/>
      <c r="L543" s="149"/>
    </row>
    <row r="544" spans="1:12" x14ac:dyDescent="0.25">
      <c r="A544" s="476"/>
      <c r="B544" s="275" t="s">
        <v>504</v>
      </c>
      <c r="C544" s="276" t="s">
        <v>1954</v>
      </c>
      <c r="D544" s="276">
        <v>12</v>
      </c>
      <c r="E544" s="275">
        <v>58124110</v>
      </c>
      <c r="F544" s="275"/>
      <c r="G544" s="105" t="s">
        <v>1956</v>
      </c>
      <c r="H544" s="276">
        <v>12</v>
      </c>
      <c r="I544" s="275">
        <v>71157220</v>
      </c>
      <c r="J544" s="106"/>
      <c r="K544" s="107"/>
      <c r="L544" s="149"/>
    </row>
    <row r="545" spans="1:12" x14ac:dyDescent="0.25">
      <c r="A545" s="476"/>
      <c r="B545" s="275" t="s">
        <v>504</v>
      </c>
      <c r="C545" s="276" t="s">
        <v>1964</v>
      </c>
      <c r="D545" s="276">
        <v>12</v>
      </c>
      <c r="E545" s="275">
        <v>58125162</v>
      </c>
      <c r="F545" s="275"/>
      <c r="G545" s="105" t="s">
        <v>1956</v>
      </c>
      <c r="H545" s="276">
        <v>12</v>
      </c>
      <c r="I545" s="275">
        <v>69828521</v>
      </c>
      <c r="J545" s="106"/>
      <c r="K545" s="107"/>
      <c r="L545" s="149"/>
    </row>
    <row r="546" spans="1:12" x14ac:dyDescent="0.25">
      <c r="A546" s="476"/>
      <c r="B546" s="275" t="s">
        <v>504</v>
      </c>
      <c r="C546" s="276" t="s">
        <v>1964</v>
      </c>
      <c r="D546" s="276">
        <v>12</v>
      </c>
      <c r="E546" s="275">
        <v>58125267</v>
      </c>
      <c r="F546" s="275"/>
      <c r="G546" s="105" t="s">
        <v>1956</v>
      </c>
      <c r="H546" s="276">
        <v>12</v>
      </c>
      <c r="I546" s="275">
        <v>70436616</v>
      </c>
      <c r="J546" s="106"/>
      <c r="K546" s="107"/>
      <c r="L546" s="149"/>
    </row>
    <row r="547" spans="1:12" x14ac:dyDescent="0.25">
      <c r="A547" s="476"/>
      <c r="B547" s="275" t="s">
        <v>504</v>
      </c>
      <c r="C547" s="276" t="s">
        <v>1960</v>
      </c>
      <c r="D547" s="276">
        <v>12</v>
      </c>
      <c r="E547" s="275">
        <v>58125506</v>
      </c>
      <c r="F547" s="275"/>
      <c r="G547" s="105" t="s">
        <v>1956</v>
      </c>
      <c r="H547" s="276">
        <v>12</v>
      </c>
      <c r="I547" s="275">
        <v>69519362</v>
      </c>
      <c r="J547" s="106"/>
      <c r="K547" s="107"/>
      <c r="L547" s="149"/>
    </row>
    <row r="548" spans="1:12" x14ac:dyDescent="0.25">
      <c r="A548" s="476"/>
      <c r="B548" s="275" t="s">
        <v>504</v>
      </c>
      <c r="C548" s="276" t="s">
        <v>1964</v>
      </c>
      <c r="D548" s="276">
        <v>12</v>
      </c>
      <c r="E548" s="275">
        <v>58126125</v>
      </c>
      <c r="F548" s="275"/>
      <c r="G548" s="105" t="s">
        <v>1956</v>
      </c>
      <c r="H548" s="276">
        <v>12</v>
      </c>
      <c r="I548" s="275">
        <v>69327469</v>
      </c>
      <c r="J548" s="106"/>
      <c r="K548" s="107"/>
      <c r="L548" s="149"/>
    </row>
    <row r="549" spans="1:12" x14ac:dyDescent="0.25">
      <c r="A549" s="476"/>
      <c r="B549" s="275" t="s">
        <v>504</v>
      </c>
      <c r="C549" s="276" t="s">
        <v>1960</v>
      </c>
      <c r="D549" s="276">
        <v>12</v>
      </c>
      <c r="E549" s="275">
        <v>58126455</v>
      </c>
      <c r="F549" s="275"/>
      <c r="G549" s="105" t="s">
        <v>1956</v>
      </c>
      <c r="H549" s="276">
        <v>12</v>
      </c>
      <c r="I549" s="275">
        <v>58244471</v>
      </c>
      <c r="J549" s="106"/>
      <c r="K549" s="107"/>
      <c r="L549" s="149"/>
    </row>
    <row r="550" spans="1:12" x14ac:dyDescent="0.25">
      <c r="A550" s="476"/>
      <c r="B550" s="275" t="s">
        <v>504</v>
      </c>
      <c r="C550" s="276" t="s">
        <v>1954</v>
      </c>
      <c r="D550" s="276">
        <v>12</v>
      </c>
      <c r="E550" s="275">
        <v>58127819</v>
      </c>
      <c r="F550" s="275"/>
      <c r="G550" s="105" t="s">
        <v>1956</v>
      </c>
      <c r="H550" s="276">
        <v>12</v>
      </c>
      <c r="I550" s="275">
        <v>70106305</v>
      </c>
      <c r="J550" s="106"/>
      <c r="K550" s="107"/>
      <c r="L550" s="149"/>
    </row>
    <row r="551" spans="1:12" x14ac:dyDescent="0.25">
      <c r="A551" s="476"/>
      <c r="B551" s="275" t="s">
        <v>504</v>
      </c>
      <c r="C551" s="276" t="s">
        <v>1964</v>
      </c>
      <c r="D551" s="276">
        <v>12</v>
      </c>
      <c r="E551" s="275">
        <v>58128897</v>
      </c>
      <c r="F551" s="275"/>
      <c r="G551" s="105" t="s">
        <v>1956</v>
      </c>
      <c r="H551" s="276">
        <v>12</v>
      </c>
      <c r="I551" s="275">
        <v>70105650</v>
      </c>
      <c r="J551" s="106"/>
      <c r="K551" s="107"/>
      <c r="L551" s="149"/>
    </row>
    <row r="552" spans="1:12" x14ac:dyDescent="0.25">
      <c r="A552" s="476"/>
      <c r="B552" s="275" t="s">
        <v>504</v>
      </c>
      <c r="C552" s="276" t="s">
        <v>1954</v>
      </c>
      <c r="D552" s="276">
        <v>12</v>
      </c>
      <c r="E552" s="275">
        <v>58131088</v>
      </c>
      <c r="F552" s="275"/>
      <c r="G552" s="105" t="s">
        <v>1956</v>
      </c>
      <c r="H552" s="276">
        <v>12</v>
      </c>
      <c r="I552" s="275">
        <v>69649999</v>
      </c>
      <c r="J552" s="106"/>
      <c r="K552" s="107"/>
      <c r="L552" s="149"/>
    </row>
    <row r="553" spans="1:12" x14ac:dyDescent="0.25">
      <c r="A553" s="476"/>
      <c r="B553" s="275" t="s">
        <v>504</v>
      </c>
      <c r="C553" s="276" t="s">
        <v>1964</v>
      </c>
      <c r="D553" s="276">
        <v>12</v>
      </c>
      <c r="E553" s="275">
        <v>58131453</v>
      </c>
      <c r="F553" s="275"/>
      <c r="G553" s="105" t="s">
        <v>1956</v>
      </c>
      <c r="H553" s="276">
        <v>12</v>
      </c>
      <c r="I553" s="275">
        <v>69204939</v>
      </c>
      <c r="J553" s="106"/>
      <c r="K553" s="107"/>
      <c r="L553" s="149"/>
    </row>
    <row r="554" spans="1:12" x14ac:dyDescent="0.25">
      <c r="A554" s="476"/>
      <c r="B554" s="275" t="s">
        <v>504</v>
      </c>
      <c r="C554" s="276" t="s">
        <v>1954</v>
      </c>
      <c r="D554" s="276">
        <v>12</v>
      </c>
      <c r="E554" s="275">
        <v>58131814</v>
      </c>
      <c r="F554" s="275"/>
      <c r="G554" s="105" t="s">
        <v>1956</v>
      </c>
      <c r="H554" s="276">
        <v>12</v>
      </c>
      <c r="I554" s="275">
        <v>59001507</v>
      </c>
      <c r="J554" s="106"/>
      <c r="K554" s="107"/>
      <c r="L554" s="149"/>
    </row>
    <row r="555" spans="1:12" x14ac:dyDescent="0.25">
      <c r="A555" s="476"/>
      <c r="B555" s="275" t="s">
        <v>504</v>
      </c>
      <c r="C555" s="276" t="s">
        <v>1964</v>
      </c>
      <c r="D555" s="276">
        <v>12</v>
      </c>
      <c r="E555" s="275">
        <v>58132149</v>
      </c>
      <c r="F555" s="275"/>
      <c r="G555" s="105" t="s">
        <v>1956</v>
      </c>
      <c r="H555" s="276">
        <v>12</v>
      </c>
      <c r="I555" s="275">
        <v>70019846</v>
      </c>
      <c r="J555" s="106"/>
      <c r="K555" s="107"/>
      <c r="L555" s="149"/>
    </row>
    <row r="556" spans="1:12" x14ac:dyDescent="0.25">
      <c r="A556" s="476"/>
      <c r="B556" s="275" t="s">
        <v>504</v>
      </c>
      <c r="C556" s="276" t="s">
        <v>1964</v>
      </c>
      <c r="D556" s="276">
        <v>12</v>
      </c>
      <c r="E556" s="275">
        <v>58132258</v>
      </c>
      <c r="F556" s="275"/>
      <c r="G556" s="105" t="s">
        <v>1956</v>
      </c>
      <c r="H556" s="276">
        <v>12</v>
      </c>
      <c r="I556" s="275">
        <v>69856316</v>
      </c>
      <c r="J556" s="106"/>
      <c r="K556" s="107"/>
      <c r="L556" s="149"/>
    </row>
    <row r="557" spans="1:12" x14ac:dyDescent="0.25">
      <c r="A557" s="476"/>
      <c r="B557" s="275" t="s">
        <v>504</v>
      </c>
      <c r="C557" s="276" t="s">
        <v>1954</v>
      </c>
      <c r="D557" s="276">
        <v>12</v>
      </c>
      <c r="E557" s="275">
        <v>58132880</v>
      </c>
      <c r="F557" s="275"/>
      <c r="G557" s="105" t="s">
        <v>1956</v>
      </c>
      <c r="H557" s="276">
        <v>12</v>
      </c>
      <c r="I557" s="275">
        <v>59183463</v>
      </c>
      <c r="J557" s="106"/>
      <c r="K557" s="107"/>
      <c r="L557" s="149"/>
    </row>
    <row r="558" spans="1:12" x14ac:dyDescent="0.25">
      <c r="A558" s="476"/>
      <c r="B558" s="275" t="s">
        <v>504</v>
      </c>
      <c r="C558" s="276" t="s">
        <v>1954</v>
      </c>
      <c r="D558" s="276">
        <v>12</v>
      </c>
      <c r="E558" s="275">
        <v>58134464</v>
      </c>
      <c r="F558" s="275"/>
      <c r="G558" s="105" t="s">
        <v>1956</v>
      </c>
      <c r="H558" s="276">
        <v>12</v>
      </c>
      <c r="I558" s="275">
        <v>69243171</v>
      </c>
      <c r="J558" s="106"/>
      <c r="K558" s="107"/>
      <c r="L558" s="149"/>
    </row>
    <row r="559" spans="1:12" x14ac:dyDescent="0.25">
      <c r="A559" s="476"/>
      <c r="B559" s="275" t="s">
        <v>504</v>
      </c>
      <c r="C559" s="276" t="s">
        <v>1954</v>
      </c>
      <c r="D559" s="276">
        <v>12</v>
      </c>
      <c r="E559" s="275">
        <v>58134806</v>
      </c>
      <c r="F559" s="275"/>
      <c r="G559" s="105" t="s">
        <v>1956</v>
      </c>
      <c r="H559" s="276">
        <v>12</v>
      </c>
      <c r="I559" s="275">
        <v>58311191</v>
      </c>
      <c r="J559" s="106"/>
      <c r="K559" s="107"/>
      <c r="L559" s="149"/>
    </row>
    <row r="560" spans="1:12" x14ac:dyDescent="0.25">
      <c r="A560" s="476"/>
      <c r="B560" s="275" t="s">
        <v>504</v>
      </c>
      <c r="C560" s="276" t="s">
        <v>1954</v>
      </c>
      <c r="D560" s="276">
        <v>12</v>
      </c>
      <c r="E560" s="275">
        <v>58134973</v>
      </c>
      <c r="F560" s="275"/>
      <c r="G560" s="105" t="s">
        <v>1956</v>
      </c>
      <c r="H560" s="276">
        <v>12</v>
      </c>
      <c r="I560" s="275">
        <v>69664199</v>
      </c>
      <c r="J560" s="106"/>
      <c r="K560" s="107"/>
      <c r="L560" s="149"/>
    </row>
    <row r="561" spans="1:12" x14ac:dyDescent="0.25">
      <c r="A561" s="476"/>
      <c r="B561" s="275" t="s">
        <v>504</v>
      </c>
      <c r="C561" s="276" t="s">
        <v>1954</v>
      </c>
      <c r="D561" s="276">
        <v>12</v>
      </c>
      <c r="E561" s="275">
        <v>58135107</v>
      </c>
      <c r="F561" s="275"/>
      <c r="G561" s="105" t="s">
        <v>1956</v>
      </c>
      <c r="H561" s="276">
        <v>12</v>
      </c>
      <c r="I561" s="275">
        <v>71269195</v>
      </c>
      <c r="J561" s="106"/>
      <c r="K561" s="107"/>
      <c r="L561" s="149"/>
    </row>
    <row r="562" spans="1:12" x14ac:dyDescent="0.25">
      <c r="A562" s="476"/>
      <c r="B562" s="275" t="s">
        <v>504</v>
      </c>
      <c r="C562" s="276" t="s">
        <v>1964</v>
      </c>
      <c r="D562" s="276">
        <v>12</v>
      </c>
      <c r="E562" s="275">
        <v>58136528</v>
      </c>
      <c r="F562" s="275"/>
      <c r="G562" s="105" t="s">
        <v>1956</v>
      </c>
      <c r="H562" s="276">
        <v>12</v>
      </c>
      <c r="I562" s="275">
        <v>58519402</v>
      </c>
      <c r="J562" s="106"/>
      <c r="K562" s="107"/>
      <c r="L562" s="149"/>
    </row>
    <row r="563" spans="1:12" x14ac:dyDescent="0.25">
      <c r="A563" s="476"/>
      <c r="B563" s="275" t="s">
        <v>504</v>
      </c>
      <c r="C563" s="276" t="s">
        <v>1964</v>
      </c>
      <c r="D563" s="276">
        <v>12</v>
      </c>
      <c r="E563" s="275">
        <v>58137596</v>
      </c>
      <c r="F563" s="275"/>
      <c r="G563" s="105" t="s">
        <v>1956</v>
      </c>
      <c r="H563" s="276">
        <v>12</v>
      </c>
      <c r="I563" s="275">
        <v>69368127</v>
      </c>
      <c r="J563" s="106"/>
      <c r="K563" s="107"/>
      <c r="L563" s="149"/>
    </row>
    <row r="564" spans="1:12" x14ac:dyDescent="0.25">
      <c r="A564" s="476"/>
      <c r="B564" s="275" t="s">
        <v>504</v>
      </c>
      <c r="C564" s="276" t="s">
        <v>1954</v>
      </c>
      <c r="D564" s="276">
        <v>12</v>
      </c>
      <c r="E564" s="275">
        <v>58140551</v>
      </c>
      <c r="F564" s="275"/>
      <c r="G564" s="105" t="s">
        <v>1956</v>
      </c>
      <c r="H564" s="276">
        <v>12</v>
      </c>
      <c r="I564" s="275">
        <v>59001275</v>
      </c>
      <c r="J564" s="106"/>
      <c r="K564" s="107"/>
      <c r="L564" s="149"/>
    </row>
    <row r="565" spans="1:12" x14ac:dyDescent="0.25">
      <c r="A565" s="476"/>
      <c r="B565" s="275" t="s">
        <v>504</v>
      </c>
      <c r="C565" s="276" t="s">
        <v>1964</v>
      </c>
      <c r="D565" s="276">
        <v>12</v>
      </c>
      <c r="E565" s="275">
        <v>58140569</v>
      </c>
      <c r="F565" s="275"/>
      <c r="G565" s="105" t="s">
        <v>1956</v>
      </c>
      <c r="H565" s="276">
        <v>12</v>
      </c>
      <c r="I565" s="275">
        <v>59178447</v>
      </c>
      <c r="J565" s="106"/>
      <c r="K565" s="107"/>
      <c r="L565" s="149"/>
    </row>
    <row r="566" spans="1:12" x14ac:dyDescent="0.25">
      <c r="A566" s="476"/>
      <c r="B566" s="275" t="s">
        <v>504</v>
      </c>
      <c r="C566" s="276" t="s">
        <v>1964</v>
      </c>
      <c r="D566" s="276">
        <v>12</v>
      </c>
      <c r="E566" s="275">
        <v>58140638</v>
      </c>
      <c r="F566" s="275"/>
      <c r="G566" s="105" t="s">
        <v>1956</v>
      </c>
      <c r="H566" s="276">
        <v>12</v>
      </c>
      <c r="I566" s="275">
        <v>59087644</v>
      </c>
      <c r="J566" s="106"/>
      <c r="K566" s="107"/>
      <c r="L566" s="149"/>
    </row>
    <row r="567" spans="1:12" x14ac:dyDescent="0.25">
      <c r="A567" s="476"/>
      <c r="B567" s="275" t="s">
        <v>504</v>
      </c>
      <c r="C567" s="276" t="s">
        <v>1960</v>
      </c>
      <c r="D567" s="276">
        <v>12</v>
      </c>
      <c r="E567" s="275">
        <v>58141931</v>
      </c>
      <c r="F567" s="275"/>
      <c r="G567" s="105" t="s">
        <v>1956</v>
      </c>
      <c r="H567" s="276">
        <v>12</v>
      </c>
      <c r="I567" s="275">
        <v>71132931</v>
      </c>
      <c r="J567" s="106"/>
      <c r="K567" s="107"/>
      <c r="L567" s="149"/>
    </row>
    <row r="568" spans="1:12" x14ac:dyDescent="0.25">
      <c r="A568" s="476"/>
      <c r="B568" s="275" t="s">
        <v>504</v>
      </c>
      <c r="C568" s="276" t="s">
        <v>1960</v>
      </c>
      <c r="D568" s="276">
        <v>12</v>
      </c>
      <c r="E568" s="275">
        <v>58142197</v>
      </c>
      <c r="F568" s="275"/>
      <c r="G568" s="105" t="s">
        <v>1956</v>
      </c>
      <c r="H568" s="276">
        <v>12</v>
      </c>
      <c r="I568" s="275">
        <v>58248073</v>
      </c>
      <c r="J568" s="106"/>
      <c r="K568" s="107"/>
      <c r="L568" s="149"/>
    </row>
    <row r="569" spans="1:12" x14ac:dyDescent="0.25">
      <c r="A569" s="476"/>
      <c r="B569" s="275" t="s">
        <v>504</v>
      </c>
      <c r="C569" s="276" t="s">
        <v>1964</v>
      </c>
      <c r="D569" s="276">
        <v>12</v>
      </c>
      <c r="E569" s="275">
        <v>58144621</v>
      </c>
      <c r="F569" s="275"/>
      <c r="G569" s="105" t="s">
        <v>1956</v>
      </c>
      <c r="H569" s="276">
        <v>12</v>
      </c>
      <c r="I569" s="275">
        <v>70304116</v>
      </c>
      <c r="J569" s="106"/>
      <c r="K569" s="107"/>
      <c r="L569" s="149"/>
    </row>
    <row r="570" spans="1:12" x14ac:dyDescent="0.25">
      <c r="A570" s="476"/>
      <c r="B570" s="275" t="s">
        <v>504</v>
      </c>
      <c r="C570" s="276" t="s">
        <v>1954</v>
      </c>
      <c r="D570" s="276">
        <v>12</v>
      </c>
      <c r="E570" s="275">
        <v>58145613</v>
      </c>
      <c r="F570" s="275"/>
      <c r="G570" s="105" t="s">
        <v>1956</v>
      </c>
      <c r="H570" s="276">
        <v>12</v>
      </c>
      <c r="I570" s="275">
        <v>58422513</v>
      </c>
      <c r="J570" s="106"/>
      <c r="K570" s="107"/>
      <c r="L570" s="149"/>
    </row>
    <row r="571" spans="1:12" x14ac:dyDescent="0.25">
      <c r="A571" s="476"/>
      <c r="B571" s="275" t="s">
        <v>504</v>
      </c>
      <c r="C571" s="276" t="s">
        <v>1964</v>
      </c>
      <c r="D571" s="276">
        <v>12</v>
      </c>
      <c r="E571" s="275">
        <v>58147323</v>
      </c>
      <c r="F571" s="275"/>
      <c r="G571" s="105" t="s">
        <v>1956</v>
      </c>
      <c r="H571" s="276">
        <v>12</v>
      </c>
      <c r="I571" s="275">
        <v>71221386</v>
      </c>
      <c r="J571" s="106"/>
      <c r="K571" s="107"/>
      <c r="L571" s="149"/>
    </row>
    <row r="572" spans="1:12" x14ac:dyDescent="0.25">
      <c r="A572" s="476"/>
      <c r="B572" s="275" t="s">
        <v>504</v>
      </c>
      <c r="C572" s="276" t="s">
        <v>1954</v>
      </c>
      <c r="D572" s="276">
        <v>12</v>
      </c>
      <c r="E572" s="275">
        <v>58148064</v>
      </c>
      <c r="F572" s="275"/>
      <c r="G572" s="105" t="s">
        <v>1956</v>
      </c>
      <c r="H572" s="276">
        <v>12</v>
      </c>
      <c r="I572" s="275">
        <v>70132514</v>
      </c>
      <c r="J572" s="106"/>
      <c r="K572" s="107"/>
      <c r="L572" s="149"/>
    </row>
    <row r="573" spans="1:12" x14ac:dyDescent="0.25">
      <c r="A573" s="476"/>
      <c r="B573" s="275" t="s">
        <v>504</v>
      </c>
      <c r="C573" s="276" t="s">
        <v>1964</v>
      </c>
      <c r="D573" s="276">
        <v>12</v>
      </c>
      <c r="E573" s="275">
        <v>58148181</v>
      </c>
      <c r="F573" s="275"/>
      <c r="G573" s="105" t="s">
        <v>1956</v>
      </c>
      <c r="H573" s="276">
        <v>12</v>
      </c>
      <c r="I573" s="275">
        <v>69620011</v>
      </c>
      <c r="J573" s="106"/>
      <c r="K573" s="107"/>
      <c r="L573" s="149"/>
    </row>
    <row r="574" spans="1:12" x14ac:dyDescent="0.25">
      <c r="A574" s="476"/>
      <c r="B574" s="275" t="s">
        <v>504</v>
      </c>
      <c r="C574" s="276" t="s">
        <v>1964</v>
      </c>
      <c r="D574" s="276">
        <v>12</v>
      </c>
      <c r="E574" s="275">
        <v>58148600</v>
      </c>
      <c r="F574" s="275"/>
      <c r="G574" s="105" t="s">
        <v>1956</v>
      </c>
      <c r="H574" s="276">
        <v>12</v>
      </c>
      <c r="I574" s="275">
        <v>58260894</v>
      </c>
      <c r="J574" s="106"/>
      <c r="K574" s="107"/>
      <c r="L574" s="149"/>
    </row>
    <row r="575" spans="1:12" x14ac:dyDescent="0.25">
      <c r="A575" s="476"/>
      <c r="B575" s="275" t="s">
        <v>504</v>
      </c>
      <c r="C575" s="276" t="s">
        <v>1960</v>
      </c>
      <c r="D575" s="276">
        <v>12</v>
      </c>
      <c r="E575" s="275">
        <v>58149039</v>
      </c>
      <c r="F575" s="275"/>
      <c r="G575" s="105" t="s">
        <v>1956</v>
      </c>
      <c r="H575" s="276">
        <v>12</v>
      </c>
      <c r="I575" s="275">
        <v>58310909</v>
      </c>
      <c r="J575" s="106"/>
      <c r="K575" s="107"/>
      <c r="L575" s="149"/>
    </row>
    <row r="576" spans="1:12" x14ac:dyDescent="0.25">
      <c r="A576" s="476"/>
      <c r="B576" s="275" t="s">
        <v>504</v>
      </c>
      <c r="C576" s="276" t="s">
        <v>1960</v>
      </c>
      <c r="D576" s="276">
        <v>12</v>
      </c>
      <c r="E576" s="275">
        <v>58149292</v>
      </c>
      <c r="F576" s="275"/>
      <c r="G576" s="105" t="s">
        <v>1956</v>
      </c>
      <c r="H576" s="276">
        <v>12</v>
      </c>
      <c r="I576" s="275">
        <v>69777992</v>
      </c>
      <c r="J576" s="106"/>
      <c r="K576" s="107"/>
      <c r="L576" s="149"/>
    </row>
    <row r="577" spans="1:12" x14ac:dyDescent="0.25">
      <c r="A577" s="476"/>
      <c r="B577" s="275" t="s">
        <v>504</v>
      </c>
      <c r="C577" s="276" t="s">
        <v>1964</v>
      </c>
      <c r="D577" s="276">
        <v>12</v>
      </c>
      <c r="E577" s="275">
        <v>58150202</v>
      </c>
      <c r="F577" s="275"/>
      <c r="G577" s="105" t="s">
        <v>1956</v>
      </c>
      <c r="H577" s="276">
        <v>12</v>
      </c>
      <c r="I577" s="275">
        <v>128675375</v>
      </c>
      <c r="J577" s="106"/>
      <c r="K577" s="107"/>
      <c r="L577" s="149"/>
    </row>
    <row r="578" spans="1:12" x14ac:dyDescent="0.25">
      <c r="A578" s="476"/>
      <c r="B578" s="275" t="s">
        <v>504</v>
      </c>
      <c r="C578" s="276" t="s">
        <v>1964</v>
      </c>
      <c r="D578" s="276">
        <v>12</v>
      </c>
      <c r="E578" s="275">
        <v>58153349</v>
      </c>
      <c r="F578" s="275"/>
      <c r="G578" s="105" t="s">
        <v>1956</v>
      </c>
      <c r="H578" s="276">
        <v>12</v>
      </c>
      <c r="I578" s="275">
        <v>69945902</v>
      </c>
      <c r="J578" s="106"/>
      <c r="K578" s="107"/>
      <c r="L578" s="149"/>
    </row>
    <row r="579" spans="1:12" x14ac:dyDescent="0.25">
      <c r="A579" s="476"/>
      <c r="B579" s="275" t="s">
        <v>504</v>
      </c>
      <c r="C579" s="276" t="s">
        <v>1964</v>
      </c>
      <c r="D579" s="276">
        <v>12</v>
      </c>
      <c r="E579" s="275">
        <v>58153422</v>
      </c>
      <c r="F579" s="275"/>
      <c r="G579" s="105" t="s">
        <v>1956</v>
      </c>
      <c r="H579" s="276">
        <v>12</v>
      </c>
      <c r="I579" s="275">
        <v>59042248</v>
      </c>
      <c r="J579" s="106"/>
      <c r="K579" s="107"/>
      <c r="L579" s="149"/>
    </row>
    <row r="580" spans="1:12" x14ac:dyDescent="0.25">
      <c r="A580" s="476"/>
      <c r="B580" s="275" t="s">
        <v>504</v>
      </c>
      <c r="C580" s="276" t="s">
        <v>1964</v>
      </c>
      <c r="D580" s="276">
        <v>12</v>
      </c>
      <c r="E580" s="275">
        <v>58153763</v>
      </c>
      <c r="F580" s="275"/>
      <c r="G580" s="105" t="s">
        <v>1956</v>
      </c>
      <c r="H580" s="276">
        <v>12</v>
      </c>
      <c r="I580" s="275">
        <v>58737253</v>
      </c>
      <c r="J580" s="106"/>
      <c r="K580" s="107"/>
      <c r="L580" s="149"/>
    </row>
    <row r="581" spans="1:12" x14ac:dyDescent="0.25">
      <c r="A581" s="476"/>
      <c r="B581" s="275" t="s">
        <v>504</v>
      </c>
      <c r="C581" s="276" t="s">
        <v>1964</v>
      </c>
      <c r="D581" s="276">
        <v>12</v>
      </c>
      <c r="E581" s="275">
        <v>58154468</v>
      </c>
      <c r="F581" s="275"/>
      <c r="G581" s="105" t="s">
        <v>1956</v>
      </c>
      <c r="H581" s="276">
        <v>12</v>
      </c>
      <c r="I581" s="275">
        <v>58635380</v>
      </c>
      <c r="J581" s="106"/>
      <c r="K581" s="107"/>
      <c r="L581" s="149"/>
    </row>
    <row r="582" spans="1:12" x14ac:dyDescent="0.25">
      <c r="A582" s="476"/>
      <c r="B582" s="275" t="s">
        <v>504</v>
      </c>
      <c r="C582" s="276" t="s">
        <v>1964</v>
      </c>
      <c r="D582" s="276">
        <v>12</v>
      </c>
      <c r="E582" s="275">
        <v>58155704</v>
      </c>
      <c r="F582" s="275"/>
      <c r="G582" s="105" t="s">
        <v>1956</v>
      </c>
      <c r="H582" s="276">
        <v>12</v>
      </c>
      <c r="I582" s="275">
        <v>69110548</v>
      </c>
      <c r="J582" s="106"/>
      <c r="K582" s="107"/>
      <c r="L582" s="149"/>
    </row>
    <row r="583" spans="1:12" x14ac:dyDescent="0.25">
      <c r="A583" s="476"/>
      <c r="B583" s="275" t="s">
        <v>504</v>
      </c>
      <c r="C583" s="276" t="s">
        <v>1964</v>
      </c>
      <c r="D583" s="276">
        <v>12</v>
      </c>
      <c r="E583" s="275">
        <v>58156421</v>
      </c>
      <c r="F583" s="275"/>
      <c r="G583" s="105" t="s">
        <v>1956</v>
      </c>
      <c r="H583" s="276">
        <v>12</v>
      </c>
      <c r="I583" s="275">
        <v>69302065</v>
      </c>
      <c r="J583" s="106"/>
      <c r="K583" s="107"/>
      <c r="L583" s="149"/>
    </row>
    <row r="584" spans="1:12" x14ac:dyDescent="0.25">
      <c r="A584" s="476"/>
      <c r="B584" s="275" t="s">
        <v>504</v>
      </c>
      <c r="C584" s="276" t="s">
        <v>1954</v>
      </c>
      <c r="D584" s="276">
        <v>12</v>
      </c>
      <c r="E584" s="275">
        <v>58156845</v>
      </c>
      <c r="F584" s="275"/>
      <c r="G584" s="105" t="s">
        <v>1956</v>
      </c>
      <c r="H584" s="276">
        <v>12</v>
      </c>
      <c r="I584" s="275">
        <v>59075641</v>
      </c>
      <c r="J584" s="106"/>
      <c r="K584" s="107"/>
      <c r="L584" s="149"/>
    </row>
    <row r="585" spans="1:12" x14ac:dyDescent="0.25">
      <c r="A585" s="476"/>
      <c r="B585" s="275" t="s">
        <v>504</v>
      </c>
      <c r="C585" s="276" t="s">
        <v>1960</v>
      </c>
      <c r="D585" s="276">
        <v>12</v>
      </c>
      <c r="E585" s="275">
        <v>58157405</v>
      </c>
      <c r="F585" s="275"/>
      <c r="G585" s="105" t="s">
        <v>1956</v>
      </c>
      <c r="H585" s="276">
        <v>12</v>
      </c>
      <c r="I585" s="275">
        <v>58215635</v>
      </c>
      <c r="J585" s="106"/>
      <c r="K585" s="107"/>
      <c r="L585" s="149"/>
    </row>
    <row r="586" spans="1:12" x14ac:dyDescent="0.25">
      <c r="A586" s="476"/>
      <c r="B586" s="275" t="s">
        <v>504</v>
      </c>
      <c r="C586" s="276" t="s">
        <v>1964</v>
      </c>
      <c r="D586" s="276">
        <v>12</v>
      </c>
      <c r="E586" s="275">
        <v>58159111</v>
      </c>
      <c r="F586" s="275"/>
      <c r="G586" s="105" t="s">
        <v>1956</v>
      </c>
      <c r="H586" s="276">
        <v>12</v>
      </c>
      <c r="I586" s="275">
        <v>70354992</v>
      </c>
      <c r="J586" s="106"/>
      <c r="K586" s="107"/>
      <c r="L586" s="149"/>
    </row>
    <row r="587" spans="1:12" x14ac:dyDescent="0.25">
      <c r="A587" s="476"/>
      <c r="B587" s="275" t="s">
        <v>504</v>
      </c>
      <c r="C587" s="276" t="s">
        <v>1954</v>
      </c>
      <c r="D587" s="276">
        <v>12</v>
      </c>
      <c r="E587" s="275">
        <v>58162456</v>
      </c>
      <c r="F587" s="275"/>
      <c r="G587" s="105" t="s">
        <v>1956</v>
      </c>
      <c r="H587" s="276">
        <v>12</v>
      </c>
      <c r="I587" s="275">
        <v>70415134</v>
      </c>
      <c r="J587" s="106"/>
      <c r="K587" s="107"/>
      <c r="L587" s="149"/>
    </row>
    <row r="588" spans="1:12" x14ac:dyDescent="0.25">
      <c r="A588" s="476"/>
      <c r="B588" s="275" t="s">
        <v>504</v>
      </c>
      <c r="C588" s="276" t="s">
        <v>1964</v>
      </c>
      <c r="D588" s="276">
        <v>12</v>
      </c>
      <c r="E588" s="275">
        <v>58162550</v>
      </c>
      <c r="F588" s="275"/>
      <c r="G588" s="105" t="s">
        <v>1956</v>
      </c>
      <c r="H588" s="276">
        <v>12</v>
      </c>
      <c r="I588" s="275">
        <v>69160626</v>
      </c>
      <c r="J588" s="106"/>
      <c r="K588" s="107"/>
      <c r="L588" s="149"/>
    </row>
    <row r="589" spans="1:12" x14ac:dyDescent="0.25">
      <c r="A589" s="476"/>
      <c r="B589" s="275" t="s">
        <v>504</v>
      </c>
      <c r="C589" s="276" t="s">
        <v>1964</v>
      </c>
      <c r="D589" s="276">
        <v>12</v>
      </c>
      <c r="E589" s="275">
        <v>58163409</v>
      </c>
      <c r="F589" s="275"/>
      <c r="G589" s="105" t="s">
        <v>1956</v>
      </c>
      <c r="H589" s="276">
        <v>12</v>
      </c>
      <c r="I589" s="275">
        <v>69416947</v>
      </c>
      <c r="J589" s="106"/>
      <c r="K589" s="107"/>
      <c r="L589" s="149"/>
    </row>
    <row r="590" spans="1:12" x14ac:dyDescent="0.25">
      <c r="A590" s="476"/>
      <c r="B590" s="275" t="s">
        <v>504</v>
      </c>
      <c r="C590" s="276" t="s">
        <v>1960</v>
      </c>
      <c r="D590" s="276">
        <v>12</v>
      </c>
      <c r="E590" s="275">
        <v>58163423</v>
      </c>
      <c r="F590" s="275"/>
      <c r="G590" s="105" t="s">
        <v>1956</v>
      </c>
      <c r="H590" s="276">
        <v>12</v>
      </c>
      <c r="I590" s="275">
        <v>70101901</v>
      </c>
      <c r="J590" s="106"/>
      <c r="K590" s="107"/>
      <c r="L590" s="149"/>
    </row>
    <row r="591" spans="1:12" x14ac:dyDescent="0.25">
      <c r="A591" s="476"/>
      <c r="B591" s="275" t="s">
        <v>504</v>
      </c>
      <c r="C591" s="276" t="s">
        <v>1964</v>
      </c>
      <c r="D591" s="276">
        <v>12</v>
      </c>
      <c r="E591" s="275">
        <v>58164512</v>
      </c>
      <c r="F591" s="275"/>
      <c r="G591" s="105" t="s">
        <v>1956</v>
      </c>
      <c r="H591" s="276">
        <v>12</v>
      </c>
      <c r="I591" s="275">
        <v>69839351</v>
      </c>
      <c r="J591" s="106"/>
      <c r="K591" s="107"/>
      <c r="L591" s="149"/>
    </row>
    <row r="592" spans="1:12" x14ac:dyDescent="0.25">
      <c r="A592" s="476"/>
      <c r="B592" s="275" t="s">
        <v>504</v>
      </c>
      <c r="C592" s="276" t="s">
        <v>1954</v>
      </c>
      <c r="D592" s="276">
        <v>12</v>
      </c>
      <c r="E592" s="275">
        <v>58167392</v>
      </c>
      <c r="F592" s="275"/>
      <c r="G592" s="105" t="s">
        <v>1956</v>
      </c>
      <c r="H592" s="276">
        <v>12</v>
      </c>
      <c r="I592" s="275">
        <v>69318150</v>
      </c>
      <c r="J592" s="106"/>
      <c r="K592" s="107"/>
      <c r="L592" s="149"/>
    </row>
    <row r="593" spans="1:12" x14ac:dyDescent="0.25">
      <c r="A593" s="476"/>
      <c r="B593" s="275" t="s">
        <v>504</v>
      </c>
      <c r="C593" s="276" t="s">
        <v>1960</v>
      </c>
      <c r="D593" s="276">
        <v>12</v>
      </c>
      <c r="E593" s="275">
        <v>58167624</v>
      </c>
      <c r="F593" s="275"/>
      <c r="G593" s="105" t="s">
        <v>1956</v>
      </c>
      <c r="H593" s="276">
        <v>12</v>
      </c>
      <c r="I593" s="275">
        <v>69339476</v>
      </c>
      <c r="J593" s="106"/>
      <c r="K593" s="107"/>
      <c r="L593" s="149"/>
    </row>
    <row r="594" spans="1:12" x14ac:dyDescent="0.25">
      <c r="A594" s="476"/>
      <c r="B594" s="275" t="s">
        <v>504</v>
      </c>
      <c r="C594" s="276" t="s">
        <v>1964</v>
      </c>
      <c r="D594" s="276">
        <v>12</v>
      </c>
      <c r="E594" s="275">
        <v>58169844</v>
      </c>
      <c r="F594" s="275"/>
      <c r="G594" s="105" t="s">
        <v>1956</v>
      </c>
      <c r="H594" s="276">
        <v>12</v>
      </c>
      <c r="I594" s="275">
        <v>69265116</v>
      </c>
      <c r="J594" s="106"/>
      <c r="K594" s="107"/>
      <c r="L594" s="149"/>
    </row>
    <row r="595" spans="1:12" x14ac:dyDescent="0.25">
      <c r="A595" s="476"/>
      <c r="B595" s="275" t="s">
        <v>504</v>
      </c>
      <c r="C595" s="276" t="s">
        <v>1960</v>
      </c>
      <c r="D595" s="276">
        <v>12</v>
      </c>
      <c r="E595" s="275">
        <v>58173475</v>
      </c>
      <c r="F595" s="275"/>
      <c r="G595" s="105" t="s">
        <v>1956</v>
      </c>
      <c r="H595" s="276">
        <v>12</v>
      </c>
      <c r="I595" s="275">
        <v>69992000</v>
      </c>
      <c r="J595" s="106"/>
      <c r="K595" s="107"/>
      <c r="L595" s="149"/>
    </row>
    <row r="596" spans="1:12" x14ac:dyDescent="0.25">
      <c r="A596" s="476"/>
      <c r="B596" s="275" t="s">
        <v>504</v>
      </c>
      <c r="C596" s="276" t="s">
        <v>1960</v>
      </c>
      <c r="D596" s="276">
        <v>12</v>
      </c>
      <c r="E596" s="275">
        <v>58173902</v>
      </c>
      <c r="F596" s="275"/>
      <c r="G596" s="105" t="s">
        <v>1956</v>
      </c>
      <c r="H596" s="276">
        <v>12</v>
      </c>
      <c r="I596" s="275">
        <v>69176391</v>
      </c>
      <c r="J596" s="106"/>
      <c r="K596" s="107"/>
      <c r="L596" s="149"/>
    </row>
    <row r="597" spans="1:12" x14ac:dyDescent="0.25">
      <c r="A597" s="476"/>
      <c r="B597" s="275" t="s">
        <v>504</v>
      </c>
      <c r="C597" s="276" t="s">
        <v>1960</v>
      </c>
      <c r="D597" s="276">
        <v>12</v>
      </c>
      <c r="E597" s="275">
        <v>58176201</v>
      </c>
      <c r="F597" s="275"/>
      <c r="G597" s="105" t="s">
        <v>1956</v>
      </c>
      <c r="H597" s="276">
        <v>12</v>
      </c>
      <c r="I597" s="275">
        <v>70938455</v>
      </c>
      <c r="J597" s="106"/>
      <c r="K597" s="107"/>
      <c r="L597" s="149"/>
    </row>
    <row r="598" spans="1:12" x14ac:dyDescent="0.25">
      <c r="A598" s="476"/>
      <c r="B598" s="275" t="s">
        <v>504</v>
      </c>
      <c r="C598" s="276" t="s">
        <v>1964</v>
      </c>
      <c r="D598" s="276">
        <v>12</v>
      </c>
      <c r="E598" s="275">
        <v>58178421</v>
      </c>
      <c r="F598" s="275"/>
      <c r="G598" s="105" t="s">
        <v>1956</v>
      </c>
      <c r="H598" s="276">
        <v>12</v>
      </c>
      <c r="I598" s="275">
        <v>128551383</v>
      </c>
      <c r="J598" s="106"/>
      <c r="K598" s="107"/>
      <c r="L598" s="149"/>
    </row>
    <row r="599" spans="1:12" x14ac:dyDescent="0.25">
      <c r="A599" s="476"/>
      <c r="B599" s="275" t="s">
        <v>504</v>
      </c>
      <c r="C599" s="276" t="s">
        <v>1960</v>
      </c>
      <c r="D599" s="276">
        <v>12</v>
      </c>
      <c r="E599" s="275">
        <v>58178483</v>
      </c>
      <c r="F599" s="275"/>
      <c r="G599" s="105" t="s">
        <v>1956</v>
      </c>
      <c r="H599" s="276">
        <v>12</v>
      </c>
      <c r="I599" s="275">
        <v>70003994</v>
      </c>
      <c r="J599" s="106"/>
      <c r="K599" s="107"/>
      <c r="L599" s="149"/>
    </row>
    <row r="600" spans="1:12" x14ac:dyDescent="0.25">
      <c r="A600" s="476"/>
      <c r="B600" s="275" t="s">
        <v>504</v>
      </c>
      <c r="C600" s="276" t="s">
        <v>1964</v>
      </c>
      <c r="D600" s="276">
        <v>12</v>
      </c>
      <c r="E600" s="275">
        <v>58180190</v>
      </c>
      <c r="F600" s="275"/>
      <c r="G600" s="105" t="s">
        <v>1956</v>
      </c>
      <c r="H600" s="276">
        <v>12</v>
      </c>
      <c r="I600" s="275">
        <v>71115869</v>
      </c>
      <c r="J600" s="106"/>
      <c r="K600" s="107"/>
      <c r="L600" s="149"/>
    </row>
    <row r="601" spans="1:12" x14ac:dyDescent="0.25">
      <c r="A601" s="476"/>
      <c r="B601" s="275" t="s">
        <v>504</v>
      </c>
      <c r="C601" s="276" t="s">
        <v>1960</v>
      </c>
      <c r="D601" s="276">
        <v>12</v>
      </c>
      <c r="E601" s="275">
        <v>58180633</v>
      </c>
      <c r="F601" s="275"/>
      <c r="G601" s="105" t="s">
        <v>1956</v>
      </c>
      <c r="H601" s="276">
        <v>12</v>
      </c>
      <c r="I601" s="275">
        <v>58639357</v>
      </c>
      <c r="J601" s="106"/>
      <c r="K601" s="107"/>
      <c r="L601" s="149"/>
    </row>
    <row r="602" spans="1:12" x14ac:dyDescent="0.25">
      <c r="A602" s="476"/>
      <c r="B602" s="275" t="s">
        <v>504</v>
      </c>
      <c r="C602" s="276" t="s">
        <v>1964</v>
      </c>
      <c r="D602" s="276">
        <v>12</v>
      </c>
      <c r="E602" s="275">
        <v>58180647</v>
      </c>
      <c r="F602" s="275"/>
      <c r="G602" s="105" t="s">
        <v>1956</v>
      </c>
      <c r="H602" s="276">
        <v>12</v>
      </c>
      <c r="I602" s="275">
        <v>69376447</v>
      </c>
      <c r="J602" s="106"/>
      <c r="K602" s="107"/>
      <c r="L602" s="149"/>
    </row>
    <row r="603" spans="1:12" x14ac:dyDescent="0.25">
      <c r="A603" s="476"/>
      <c r="B603" s="275" t="s">
        <v>504</v>
      </c>
      <c r="C603" s="276" t="s">
        <v>1954</v>
      </c>
      <c r="D603" s="276">
        <v>12</v>
      </c>
      <c r="E603" s="275">
        <v>58181067</v>
      </c>
      <c r="F603" s="275"/>
      <c r="G603" s="105" t="s">
        <v>1956</v>
      </c>
      <c r="H603" s="276">
        <v>12</v>
      </c>
      <c r="I603" s="275">
        <v>70299456</v>
      </c>
      <c r="J603" s="106"/>
      <c r="K603" s="107"/>
      <c r="L603" s="149"/>
    </row>
    <row r="604" spans="1:12" x14ac:dyDescent="0.25">
      <c r="A604" s="476"/>
      <c r="B604" s="275" t="s">
        <v>504</v>
      </c>
      <c r="C604" s="276" t="s">
        <v>1964</v>
      </c>
      <c r="D604" s="276">
        <v>12</v>
      </c>
      <c r="E604" s="275">
        <v>58186507</v>
      </c>
      <c r="F604" s="275"/>
      <c r="G604" s="105" t="s">
        <v>1956</v>
      </c>
      <c r="H604" s="276">
        <v>12</v>
      </c>
      <c r="I604" s="275">
        <v>69443987</v>
      </c>
      <c r="J604" s="106"/>
      <c r="K604" s="107"/>
      <c r="L604" s="149"/>
    </row>
    <row r="605" spans="1:12" x14ac:dyDescent="0.25">
      <c r="A605" s="476"/>
      <c r="B605" s="275" t="s">
        <v>504</v>
      </c>
      <c r="C605" s="276" t="s">
        <v>1964</v>
      </c>
      <c r="D605" s="276">
        <v>12</v>
      </c>
      <c r="E605" s="275">
        <v>58187087</v>
      </c>
      <c r="F605" s="275"/>
      <c r="G605" s="105" t="s">
        <v>1956</v>
      </c>
      <c r="H605" s="276">
        <v>12</v>
      </c>
      <c r="I605" s="275">
        <v>70462900</v>
      </c>
      <c r="J605" s="106"/>
      <c r="K605" s="107"/>
      <c r="L605" s="149"/>
    </row>
    <row r="606" spans="1:12" x14ac:dyDescent="0.25">
      <c r="A606" s="476"/>
      <c r="B606" s="275" t="s">
        <v>504</v>
      </c>
      <c r="C606" s="276" t="s">
        <v>1960</v>
      </c>
      <c r="D606" s="276">
        <v>12</v>
      </c>
      <c r="E606" s="275">
        <v>58191770</v>
      </c>
      <c r="F606" s="275"/>
      <c r="G606" s="105" t="s">
        <v>1956</v>
      </c>
      <c r="H606" s="276">
        <v>12</v>
      </c>
      <c r="I606" s="275">
        <v>59179048</v>
      </c>
      <c r="J606" s="106"/>
      <c r="K606" s="107"/>
      <c r="L606" s="149"/>
    </row>
    <row r="607" spans="1:12" x14ac:dyDescent="0.25">
      <c r="A607" s="476"/>
      <c r="B607" s="275" t="s">
        <v>504</v>
      </c>
      <c r="C607" s="276" t="s">
        <v>1964</v>
      </c>
      <c r="D607" s="276">
        <v>12</v>
      </c>
      <c r="E607" s="275">
        <v>58194472</v>
      </c>
      <c r="F607" s="275"/>
      <c r="G607" s="105" t="s">
        <v>1956</v>
      </c>
      <c r="H607" s="276">
        <v>12</v>
      </c>
      <c r="I607" s="275">
        <v>69079956</v>
      </c>
      <c r="J607" s="106"/>
      <c r="K607" s="107"/>
      <c r="L607" s="149"/>
    </row>
    <row r="608" spans="1:12" x14ac:dyDescent="0.25">
      <c r="A608" s="476"/>
      <c r="B608" s="275" t="s">
        <v>504</v>
      </c>
      <c r="C608" s="276" t="s">
        <v>1964</v>
      </c>
      <c r="D608" s="276">
        <v>12</v>
      </c>
      <c r="E608" s="275">
        <v>58196287</v>
      </c>
      <c r="F608" s="275"/>
      <c r="G608" s="105" t="s">
        <v>1956</v>
      </c>
      <c r="H608" s="276">
        <v>12</v>
      </c>
      <c r="I608" s="275">
        <v>70065200</v>
      </c>
      <c r="J608" s="106"/>
      <c r="K608" s="107"/>
      <c r="L608" s="149"/>
    </row>
    <row r="609" spans="1:12" x14ac:dyDescent="0.25">
      <c r="A609" s="476"/>
      <c r="B609" s="275" t="s">
        <v>504</v>
      </c>
      <c r="C609" s="276" t="s">
        <v>1960</v>
      </c>
      <c r="D609" s="276">
        <v>12</v>
      </c>
      <c r="E609" s="275">
        <v>58201383</v>
      </c>
      <c r="F609" s="275"/>
      <c r="G609" s="105" t="s">
        <v>1956</v>
      </c>
      <c r="H609" s="276">
        <v>12</v>
      </c>
      <c r="I609" s="275">
        <v>69303577</v>
      </c>
      <c r="J609" s="106"/>
      <c r="K609" s="107"/>
      <c r="L609" s="149"/>
    </row>
    <row r="610" spans="1:12" x14ac:dyDescent="0.25">
      <c r="A610" s="476"/>
      <c r="B610" s="275" t="s">
        <v>504</v>
      </c>
      <c r="C610" s="276" t="s">
        <v>1954</v>
      </c>
      <c r="D610" s="276">
        <v>12</v>
      </c>
      <c r="E610" s="275">
        <v>58202674</v>
      </c>
      <c r="F610" s="275"/>
      <c r="G610" s="105" t="s">
        <v>1956</v>
      </c>
      <c r="H610" s="276">
        <v>12</v>
      </c>
      <c r="I610" s="275">
        <v>59104838</v>
      </c>
      <c r="J610" s="106"/>
      <c r="K610" s="107"/>
      <c r="L610" s="149"/>
    </row>
    <row r="611" spans="1:12" x14ac:dyDescent="0.25">
      <c r="A611" s="476"/>
      <c r="B611" s="275" t="s">
        <v>504</v>
      </c>
      <c r="C611" s="276" t="s">
        <v>1964</v>
      </c>
      <c r="D611" s="276">
        <v>12</v>
      </c>
      <c r="E611" s="275">
        <v>58202938</v>
      </c>
      <c r="F611" s="275"/>
      <c r="G611" s="105" t="s">
        <v>1956</v>
      </c>
      <c r="H611" s="276">
        <v>12</v>
      </c>
      <c r="I611" s="275">
        <v>70944140</v>
      </c>
      <c r="J611" s="106"/>
      <c r="K611" s="107"/>
      <c r="L611" s="149"/>
    </row>
    <row r="612" spans="1:12" x14ac:dyDescent="0.25">
      <c r="A612" s="476"/>
      <c r="B612" s="275" t="s">
        <v>504</v>
      </c>
      <c r="C612" s="276" t="s">
        <v>1960</v>
      </c>
      <c r="D612" s="276">
        <v>12</v>
      </c>
      <c r="E612" s="275">
        <v>58203000</v>
      </c>
      <c r="F612" s="275"/>
      <c r="G612" s="105" t="s">
        <v>1956</v>
      </c>
      <c r="H612" s="276">
        <v>12</v>
      </c>
      <c r="I612" s="275">
        <v>69451907</v>
      </c>
      <c r="J612" s="106"/>
      <c r="K612" s="107"/>
      <c r="L612" s="149"/>
    </row>
    <row r="613" spans="1:12" x14ac:dyDescent="0.25">
      <c r="A613" s="476"/>
      <c r="B613" s="275" t="s">
        <v>504</v>
      </c>
      <c r="C613" s="276" t="s">
        <v>1964</v>
      </c>
      <c r="D613" s="276">
        <v>12</v>
      </c>
      <c r="E613" s="275">
        <v>58205219</v>
      </c>
      <c r="F613" s="275"/>
      <c r="G613" s="105" t="s">
        <v>1956</v>
      </c>
      <c r="H613" s="276">
        <v>12</v>
      </c>
      <c r="I613" s="275">
        <v>71129035</v>
      </c>
      <c r="J613" s="106"/>
      <c r="K613" s="107"/>
      <c r="L613" s="149"/>
    </row>
    <row r="614" spans="1:12" x14ac:dyDescent="0.25">
      <c r="A614" s="476"/>
      <c r="B614" s="275" t="s">
        <v>504</v>
      </c>
      <c r="C614" s="276" t="s">
        <v>1960</v>
      </c>
      <c r="D614" s="276">
        <v>12</v>
      </c>
      <c r="E614" s="275">
        <v>58205356</v>
      </c>
      <c r="F614" s="275"/>
      <c r="G614" s="105" t="s">
        <v>1956</v>
      </c>
      <c r="H614" s="276">
        <v>12</v>
      </c>
      <c r="I614" s="275">
        <v>58731663</v>
      </c>
      <c r="J614" s="106"/>
      <c r="K614" s="107"/>
      <c r="L614" s="149"/>
    </row>
    <row r="615" spans="1:12" x14ac:dyDescent="0.25">
      <c r="A615" s="476"/>
      <c r="B615" s="275" t="s">
        <v>504</v>
      </c>
      <c r="C615" s="276" t="s">
        <v>1960</v>
      </c>
      <c r="D615" s="276">
        <v>12</v>
      </c>
      <c r="E615" s="275">
        <v>58206550</v>
      </c>
      <c r="F615" s="275"/>
      <c r="G615" s="105" t="s">
        <v>1956</v>
      </c>
      <c r="H615" s="276">
        <v>12</v>
      </c>
      <c r="I615" s="275">
        <v>69177186</v>
      </c>
      <c r="J615" s="106"/>
      <c r="K615" s="107"/>
      <c r="L615" s="149"/>
    </row>
    <row r="616" spans="1:12" x14ac:dyDescent="0.25">
      <c r="A616" s="476"/>
      <c r="B616" s="275" t="s">
        <v>504</v>
      </c>
      <c r="C616" s="276" t="s">
        <v>1954</v>
      </c>
      <c r="D616" s="276">
        <v>12</v>
      </c>
      <c r="E616" s="275">
        <v>58207241</v>
      </c>
      <c r="F616" s="275"/>
      <c r="G616" s="105" t="s">
        <v>1956</v>
      </c>
      <c r="H616" s="276">
        <v>12</v>
      </c>
      <c r="I616" s="275">
        <v>69117252</v>
      </c>
      <c r="J616" s="106"/>
      <c r="K616" s="107"/>
      <c r="L616" s="149"/>
    </row>
    <row r="617" spans="1:12" x14ac:dyDescent="0.25">
      <c r="A617" s="476"/>
      <c r="B617" s="275" t="s">
        <v>504</v>
      </c>
      <c r="C617" s="276" t="s">
        <v>1954</v>
      </c>
      <c r="D617" s="276">
        <v>12</v>
      </c>
      <c r="E617" s="275">
        <v>58208114</v>
      </c>
      <c r="F617" s="275"/>
      <c r="G617" s="105" t="s">
        <v>1956</v>
      </c>
      <c r="H617" s="276">
        <v>12</v>
      </c>
      <c r="I617" s="275">
        <v>69235942</v>
      </c>
      <c r="J617" s="106"/>
      <c r="K617" s="107"/>
      <c r="L617" s="149"/>
    </row>
    <row r="618" spans="1:12" x14ac:dyDescent="0.25">
      <c r="A618" s="476"/>
      <c r="B618" s="275" t="s">
        <v>504</v>
      </c>
      <c r="C618" s="276" t="s">
        <v>1960</v>
      </c>
      <c r="D618" s="276">
        <v>12</v>
      </c>
      <c r="E618" s="275">
        <v>58208116</v>
      </c>
      <c r="F618" s="275"/>
      <c r="G618" s="105" t="s">
        <v>1956</v>
      </c>
      <c r="H618" s="276">
        <v>12</v>
      </c>
      <c r="I618" s="275">
        <v>128502771</v>
      </c>
      <c r="J618" s="106"/>
      <c r="K618" s="107"/>
      <c r="L618" s="149"/>
    </row>
    <row r="619" spans="1:12" x14ac:dyDescent="0.25">
      <c r="A619" s="476"/>
      <c r="B619" s="275" t="s">
        <v>504</v>
      </c>
      <c r="C619" s="276" t="s">
        <v>1960</v>
      </c>
      <c r="D619" s="276">
        <v>12</v>
      </c>
      <c r="E619" s="275">
        <v>58209837</v>
      </c>
      <c r="F619" s="275"/>
      <c r="G619" s="105" t="s">
        <v>1956</v>
      </c>
      <c r="H619" s="276">
        <v>12</v>
      </c>
      <c r="I619" s="275">
        <v>69634239</v>
      </c>
      <c r="J619" s="106"/>
      <c r="K619" s="107"/>
      <c r="L619" s="149"/>
    </row>
    <row r="620" spans="1:12" x14ac:dyDescent="0.25">
      <c r="A620" s="476"/>
      <c r="B620" s="275" t="s">
        <v>504</v>
      </c>
      <c r="C620" s="276" t="s">
        <v>1960</v>
      </c>
      <c r="D620" s="276">
        <v>12</v>
      </c>
      <c r="E620" s="275">
        <v>58210851</v>
      </c>
      <c r="F620" s="275"/>
      <c r="G620" s="105" t="s">
        <v>1956</v>
      </c>
      <c r="H620" s="276">
        <v>12</v>
      </c>
      <c r="I620" s="275">
        <v>58242840</v>
      </c>
      <c r="J620" s="106"/>
      <c r="K620" s="107"/>
      <c r="L620" s="149"/>
    </row>
    <row r="621" spans="1:12" x14ac:dyDescent="0.25">
      <c r="A621" s="476"/>
      <c r="B621" s="275" t="s">
        <v>504</v>
      </c>
      <c r="C621" s="276" t="s">
        <v>1960</v>
      </c>
      <c r="D621" s="276">
        <v>12</v>
      </c>
      <c r="E621" s="275">
        <v>58211433</v>
      </c>
      <c r="F621" s="275"/>
      <c r="G621" s="105" t="s">
        <v>1956</v>
      </c>
      <c r="H621" s="276">
        <v>12</v>
      </c>
      <c r="I621" s="275">
        <v>59008232</v>
      </c>
      <c r="J621" s="106"/>
      <c r="K621" s="107"/>
      <c r="L621" s="149"/>
    </row>
    <row r="622" spans="1:12" x14ac:dyDescent="0.25">
      <c r="A622" s="476"/>
      <c r="B622" s="275" t="s">
        <v>504</v>
      </c>
      <c r="C622" s="276" t="s">
        <v>1960</v>
      </c>
      <c r="D622" s="276">
        <v>12</v>
      </c>
      <c r="E622" s="275">
        <v>58211480</v>
      </c>
      <c r="F622" s="275"/>
      <c r="G622" s="105" t="s">
        <v>1956</v>
      </c>
      <c r="H622" s="276">
        <v>12</v>
      </c>
      <c r="I622" s="275">
        <v>68715302</v>
      </c>
      <c r="J622" s="106"/>
      <c r="K622" s="107"/>
      <c r="L622" s="149"/>
    </row>
    <row r="623" spans="1:12" x14ac:dyDescent="0.25">
      <c r="A623" s="476"/>
      <c r="B623" s="275" t="s">
        <v>504</v>
      </c>
      <c r="C623" s="276" t="s">
        <v>1954</v>
      </c>
      <c r="D623" s="276">
        <v>12</v>
      </c>
      <c r="E623" s="275">
        <v>58212059</v>
      </c>
      <c r="F623" s="275"/>
      <c r="G623" s="105" t="s">
        <v>1956</v>
      </c>
      <c r="H623" s="276">
        <v>12</v>
      </c>
      <c r="I623" s="275">
        <v>128536144</v>
      </c>
      <c r="J623" s="106"/>
      <c r="K623" s="107"/>
      <c r="L623" s="149"/>
    </row>
    <row r="624" spans="1:12" x14ac:dyDescent="0.25">
      <c r="A624" s="476"/>
      <c r="B624" s="275" t="s">
        <v>504</v>
      </c>
      <c r="C624" s="276" t="s">
        <v>1960</v>
      </c>
      <c r="D624" s="276">
        <v>12</v>
      </c>
      <c r="E624" s="275">
        <v>58214304</v>
      </c>
      <c r="F624" s="275"/>
      <c r="G624" s="105" t="s">
        <v>1956</v>
      </c>
      <c r="H624" s="276">
        <v>12</v>
      </c>
      <c r="I624" s="275">
        <v>58268395</v>
      </c>
      <c r="J624" s="106"/>
      <c r="K624" s="107"/>
      <c r="L624" s="149"/>
    </row>
    <row r="625" spans="1:12" x14ac:dyDescent="0.25">
      <c r="A625" s="476"/>
      <c r="B625" s="275" t="s">
        <v>504</v>
      </c>
      <c r="C625" s="276" t="s">
        <v>1964</v>
      </c>
      <c r="D625" s="276">
        <v>12</v>
      </c>
      <c r="E625" s="275">
        <v>58216583</v>
      </c>
      <c r="F625" s="275"/>
      <c r="G625" s="105" t="s">
        <v>1956</v>
      </c>
      <c r="H625" s="276">
        <v>12</v>
      </c>
      <c r="I625" s="275">
        <v>69135136</v>
      </c>
      <c r="J625" s="106"/>
      <c r="K625" s="107"/>
      <c r="L625" s="149"/>
    </row>
    <row r="626" spans="1:12" x14ac:dyDescent="0.25">
      <c r="A626" s="476"/>
      <c r="B626" s="275" t="s">
        <v>504</v>
      </c>
      <c r="C626" s="276" t="s">
        <v>1964</v>
      </c>
      <c r="D626" s="276">
        <v>12</v>
      </c>
      <c r="E626" s="275">
        <v>58218107</v>
      </c>
      <c r="F626" s="275"/>
      <c r="G626" s="105" t="s">
        <v>1956</v>
      </c>
      <c r="H626" s="276">
        <v>12</v>
      </c>
      <c r="I626" s="275">
        <v>59206285</v>
      </c>
      <c r="J626" s="106"/>
      <c r="K626" s="107"/>
      <c r="L626" s="149"/>
    </row>
    <row r="627" spans="1:12" x14ac:dyDescent="0.25">
      <c r="A627" s="476"/>
      <c r="B627" s="275" t="s">
        <v>504</v>
      </c>
      <c r="C627" s="276" t="s">
        <v>1964</v>
      </c>
      <c r="D627" s="276">
        <v>12</v>
      </c>
      <c r="E627" s="275">
        <v>58218623</v>
      </c>
      <c r="F627" s="275"/>
      <c r="G627" s="105" t="s">
        <v>1956</v>
      </c>
      <c r="H627" s="276">
        <v>12</v>
      </c>
      <c r="I627" s="275">
        <v>70394784</v>
      </c>
      <c r="J627" s="106"/>
      <c r="K627" s="107"/>
      <c r="L627" s="149"/>
    </row>
    <row r="628" spans="1:12" x14ac:dyDescent="0.25">
      <c r="A628" s="476"/>
      <c r="B628" s="275" t="s">
        <v>504</v>
      </c>
      <c r="C628" s="276" t="s">
        <v>1960</v>
      </c>
      <c r="D628" s="276">
        <v>12</v>
      </c>
      <c r="E628" s="275">
        <v>58220553</v>
      </c>
      <c r="F628" s="275"/>
      <c r="G628" s="105" t="s">
        <v>1956</v>
      </c>
      <c r="H628" s="276">
        <v>12</v>
      </c>
      <c r="I628" s="275">
        <v>59289744</v>
      </c>
      <c r="J628" s="106"/>
      <c r="K628" s="107"/>
      <c r="L628" s="149"/>
    </row>
    <row r="629" spans="1:12" x14ac:dyDescent="0.25">
      <c r="A629" s="476"/>
      <c r="B629" s="275" t="s">
        <v>504</v>
      </c>
      <c r="C629" s="276" t="s">
        <v>1954</v>
      </c>
      <c r="D629" s="276">
        <v>12</v>
      </c>
      <c r="E629" s="275">
        <v>58221437</v>
      </c>
      <c r="F629" s="275"/>
      <c r="G629" s="105" t="s">
        <v>1956</v>
      </c>
      <c r="H629" s="276">
        <v>12</v>
      </c>
      <c r="I629" s="275">
        <v>58752615</v>
      </c>
      <c r="J629" s="106"/>
      <c r="K629" s="107"/>
      <c r="L629" s="149"/>
    </row>
    <row r="630" spans="1:12" x14ac:dyDescent="0.25">
      <c r="A630" s="476"/>
      <c r="B630" s="275" t="s">
        <v>504</v>
      </c>
      <c r="C630" s="276" t="s">
        <v>1964</v>
      </c>
      <c r="D630" s="276">
        <v>12</v>
      </c>
      <c r="E630" s="275">
        <v>58222199</v>
      </c>
      <c r="F630" s="275"/>
      <c r="G630" s="105" t="s">
        <v>1956</v>
      </c>
      <c r="H630" s="276">
        <v>12</v>
      </c>
      <c r="I630" s="275">
        <v>69111104</v>
      </c>
      <c r="J630" s="106"/>
      <c r="K630" s="107"/>
      <c r="L630" s="149"/>
    </row>
    <row r="631" spans="1:12" x14ac:dyDescent="0.25">
      <c r="A631" s="476"/>
      <c r="B631" s="275" t="s">
        <v>504</v>
      </c>
      <c r="C631" s="276" t="s">
        <v>1960</v>
      </c>
      <c r="D631" s="276">
        <v>12</v>
      </c>
      <c r="E631" s="275">
        <v>58222331</v>
      </c>
      <c r="F631" s="275"/>
      <c r="G631" s="105" t="s">
        <v>1956</v>
      </c>
      <c r="H631" s="276">
        <v>12</v>
      </c>
      <c r="I631" s="275">
        <v>68961335</v>
      </c>
      <c r="J631" s="106"/>
      <c r="K631" s="107"/>
      <c r="L631" s="149"/>
    </row>
    <row r="632" spans="1:12" x14ac:dyDescent="0.25">
      <c r="A632" s="476"/>
      <c r="B632" s="275" t="s">
        <v>504</v>
      </c>
      <c r="C632" s="276" t="s">
        <v>1954</v>
      </c>
      <c r="D632" s="276">
        <v>12</v>
      </c>
      <c r="E632" s="275">
        <v>58222696</v>
      </c>
      <c r="F632" s="275"/>
      <c r="G632" s="105" t="s">
        <v>1956</v>
      </c>
      <c r="H632" s="276">
        <v>12</v>
      </c>
      <c r="I632" s="275">
        <v>58696285</v>
      </c>
      <c r="J632" s="106"/>
      <c r="K632" s="107"/>
      <c r="L632" s="149"/>
    </row>
    <row r="633" spans="1:12" x14ac:dyDescent="0.25">
      <c r="A633" s="476"/>
      <c r="B633" s="275" t="s">
        <v>504</v>
      </c>
      <c r="C633" s="276" t="s">
        <v>1964</v>
      </c>
      <c r="D633" s="276">
        <v>12</v>
      </c>
      <c r="E633" s="275">
        <v>58223345</v>
      </c>
      <c r="F633" s="275"/>
      <c r="G633" s="105" t="s">
        <v>1956</v>
      </c>
      <c r="H633" s="276">
        <v>12</v>
      </c>
      <c r="I633" s="275">
        <v>69956555</v>
      </c>
      <c r="J633" s="106"/>
      <c r="K633" s="107"/>
      <c r="L633" s="149"/>
    </row>
    <row r="634" spans="1:12" x14ac:dyDescent="0.25">
      <c r="A634" s="476"/>
      <c r="B634" s="275" t="s">
        <v>504</v>
      </c>
      <c r="C634" s="276" t="s">
        <v>1964</v>
      </c>
      <c r="D634" s="276">
        <v>12</v>
      </c>
      <c r="E634" s="275">
        <v>58224743</v>
      </c>
      <c r="F634" s="275"/>
      <c r="G634" s="105" t="s">
        <v>1956</v>
      </c>
      <c r="H634" s="276">
        <v>12</v>
      </c>
      <c r="I634" s="275">
        <v>71192822</v>
      </c>
      <c r="J634" s="106"/>
      <c r="K634" s="107"/>
      <c r="L634" s="149"/>
    </row>
    <row r="635" spans="1:12" x14ac:dyDescent="0.25">
      <c r="A635" s="476"/>
      <c r="B635" s="275" t="s">
        <v>504</v>
      </c>
      <c r="C635" s="276" t="s">
        <v>1960</v>
      </c>
      <c r="D635" s="276">
        <v>12</v>
      </c>
      <c r="E635" s="275">
        <v>58225154</v>
      </c>
      <c r="F635" s="275"/>
      <c r="G635" s="105" t="s">
        <v>1956</v>
      </c>
      <c r="H635" s="276">
        <v>12</v>
      </c>
      <c r="I635" s="275">
        <v>69327563</v>
      </c>
      <c r="J635" s="106"/>
      <c r="K635" s="107"/>
      <c r="L635" s="149"/>
    </row>
    <row r="636" spans="1:12" x14ac:dyDescent="0.25">
      <c r="A636" s="476"/>
      <c r="B636" s="275" t="s">
        <v>504</v>
      </c>
      <c r="C636" s="276" t="s">
        <v>1954</v>
      </c>
      <c r="D636" s="276">
        <v>12</v>
      </c>
      <c r="E636" s="275">
        <v>58225387</v>
      </c>
      <c r="F636" s="275"/>
      <c r="G636" s="105" t="s">
        <v>1956</v>
      </c>
      <c r="H636" s="276">
        <v>12</v>
      </c>
      <c r="I636" s="275">
        <v>70948281</v>
      </c>
      <c r="J636" s="106"/>
      <c r="K636" s="107"/>
      <c r="L636" s="149"/>
    </row>
    <row r="637" spans="1:12" x14ac:dyDescent="0.25">
      <c r="A637" s="476"/>
      <c r="B637" s="275" t="s">
        <v>504</v>
      </c>
      <c r="C637" s="276" t="s">
        <v>1964</v>
      </c>
      <c r="D637" s="276">
        <v>12</v>
      </c>
      <c r="E637" s="275">
        <v>58225671</v>
      </c>
      <c r="F637" s="275"/>
      <c r="G637" s="105" t="s">
        <v>1956</v>
      </c>
      <c r="H637" s="276">
        <v>12</v>
      </c>
      <c r="I637" s="275">
        <v>128254723</v>
      </c>
      <c r="J637" s="106"/>
      <c r="K637" s="107"/>
      <c r="L637" s="149"/>
    </row>
    <row r="638" spans="1:12" x14ac:dyDescent="0.25">
      <c r="A638" s="476"/>
      <c r="B638" s="275" t="s">
        <v>504</v>
      </c>
      <c r="C638" s="276" t="s">
        <v>1964</v>
      </c>
      <c r="D638" s="276">
        <v>12</v>
      </c>
      <c r="E638" s="275">
        <v>58227238</v>
      </c>
      <c r="F638" s="275"/>
      <c r="G638" s="105" t="s">
        <v>1956</v>
      </c>
      <c r="H638" s="276">
        <v>12</v>
      </c>
      <c r="I638" s="275">
        <v>69792475</v>
      </c>
      <c r="J638" s="106"/>
      <c r="K638" s="107"/>
      <c r="L638" s="149"/>
    </row>
    <row r="639" spans="1:12" x14ac:dyDescent="0.25">
      <c r="A639" s="476"/>
      <c r="B639" s="275" t="s">
        <v>504</v>
      </c>
      <c r="C639" s="276" t="s">
        <v>1960</v>
      </c>
      <c r="D639" s="276">
        <v>12</v>
      </c>
      <c r="E639" s="275">
        <v>58231226</v>
      </c>
      <c r="F639" s="275"/>
      <c r="G639" s="105" t="s">
        <v>1956</v>
      </c>
      <c r="H639" s="276">
        <v>12</v>
      </c>
      <c r="I639" s="275">
        <v>128258414</v>
      </c>
      <c r="J639" s="106"/>
      <c r="K639" s="107"/>
      <c r="L639" s="149"/>
    </row>
    <row r="640" spans="1:12" x14ac:dyDescent="0.25">
      <c r="A640" s="476"/>
      <c r="B640" s="275" t="s">
        <v>504</v>
      </c>
      <c r="C640" s="276" t="s">
        <v>1954</v>
      </c>
      <c r="D640" s="276">
        <v>12</v>
      </c>
      <c r="E640" s="275">
        <v>58231680</v>
      </c>
      <c r="F640" s="275"/>
      <c r="G640" s="105" t="s">
        <v>1956</v>
      </c>
      <c r="H640" s="276">
        <v>12</v>
      </c>
      <c r="I640" s="275">
        <v>69287301</v>
      </c>
      <c r="J640" s="106"/>
      <c r="K640" s="107"/>
      <c r="L640" s="149"/>
    </row>
    <row r="641" spans="1:12" x14ac:dyDescent="0.25">
      <c r="A641" s="476"/>
      <c r="B641" s="275" t="s">
        <v>504</v>
      </c>
      <c r="C641" s="276" t="s">
        <v>1960</v>
      </c>
      <c r="D641" s="276">
        <v>12</v>
      </c>
      <c r="E641" s="275">
        <v>58231769</v>
      </c>
      <c r="F641" s="275"/>
      <c r="G641" s="105" t="s">
        <v>1956</v>
      </c>
      <c r="H641" s="276">
        <v>12</v>
      </c>
      <c r="I641" s="275">
        <v>58377756</v>
      </c>
      <c r="J641" s="106"/>
      <c r="K641" s="107"/>
      <c r="L641" s="149"/>
    </row>
    <row r="642" spans="1:12" x14ac:dyDescent="0.25">
      <c r="A642" s="476"/>
      <c r="B642" s="275" t="s">
        <v>504</v>
      </c>
      <c r="C642" s="276" t="s">
        <v>1960</v>
      </c>
      <c r="D642" s="276">
        <v>12</v>
      </c>
      <c r="E642" s="275">
        <v>58232117</v>
      </c>
      <c r="F642" s="275"/>
      <c r="G642" s="105" t="s">
        <v>1956</v>
      </c>
      <c r="H642" s="276">
        <v>12</v>
      </c>
      <c r="I642" s="275">
        <v>58347192</v>
      </c>
      <c r="J642" s="106"/>
      <c r="K642" s="107"/>
      <c r="L642" s="149"/>
    </row>
    <row r="643" spans="1:12" x14ac:dyDescent="0.25">
      <c r="A643" s="476"/>
      <c r="B643" s="275" t="s">
        <v>504</v>
      </c>
      <c r="C643" s="276" t="s">
        <v>1964</v>
      </c>
      <c r="D643" s="276">
        <v>12</v>
      </c>
      <c r="E643" s="275">
        <v>58232664</v>
      </c>
      <c r="F643" s="275"/>
      <c r="G643" s="105" t="s">
        <v>1956</v>
      </c>
      <c r="H643" s="276">
        <v>12</v>
      </c>
      <c r="I643" s="275">
        <v>70988785</v>
      </c>
      <c r="J643" s="106"/>
      <c r="K643" s="107"/>
      <c r="L643" s="149"/>
    </row>
    <row r="644" spans="1:12" x14ac:dyDescent="0.25">
      <c r="A644" s="476"/>
      <c r="B644" s="275" t="s">
        <v>504</v>
      </c>
      <c r="C644" s="276" t="s">
        <v>1964</v>
      </c>
      <c r="D644" s="276">
        <v>12</v>
      </c>
      <c r="E644" s="275">
        <v>58233703</v>
      </c>
      <c r="F644" s="275"/>
      <c r="G644" s="105" t="s">
        <v>1956</v>
      </c>
      <c r="H644" s="276">
        <v>12</v>
      </c>
      <c r="I644" s="275">
        <v>71276587</v>
      </c>
      <c r="J644" s="106"/>
      <c r="K644" s="107"/>
      <c r="L644" s="149"/>
    </row>
    <row r="645" spans="1:12" x14ac:dyDescent="0.25">
      <c r="A645" s="476"/>
      <c r="B645" s="275" t="s">
        <v>504</v>
      </c>
      <c r="C645" s="276" t="s">
        <v>1964</v>
      </c>
      <c r="D645" s="276">
        <v>12</v>
      </c>
      <c r="E645" s="275">
        <v>58233824</v>
      </c>
      <c r="F645" s="275"/>
      <c r="G645" s="105" t="s">
        <v>1956</v>
      </c>
      <c r="H645" s="276">
        <v>12</v>
      </c>
      <c r="I645" s="275">
        <v>58654286</v>
      </c>
      <c r="J645" s="106"/>
      <c r="K645" s="107"/>
      <c r="L645" s="149"/>
    </row>
    <row r="646" spans="1:12" x14ac:dyDescent="0.25">
      <c r="A646" s="476"/>
      <c r="B646" s="275" t="s">
        <v>504</v>
      </c>
      <c r="C646" s="276" t="s">
        <v>1964</v>
      </c>
      <c r="D646" s="276">
        <v>12</v>
      </c>
      <c r="E646" s="275">
        <v>58234771</v>
      </c>
      <c r="F646" s="275"/>
      <c r="G646" s="105" t="s">
        <v>1956</v>
      </c>
      <c r="H646" s="276">
        <v>12</v>
      </c>
      <c r="I646" s="275">
        <v>58671454</v>
      </c>
      <c r="J646" s="106"/>
      <c r="K646" s="107"/>
      <c r="L646" s="149"/>
    </row>
    <row r="647" spans="1:12" x14ac:dyDescent="0.25">
      <c r="A647" s="476"/>
      <c r="B647" s="275" t="s">
        <v>504</v>
      </c>
      <c r="C647" s="276" t="s">
        <v>1964</v>
      </c>
      <c r="D647" s="276">
        <v>12</v>
      </c>
      <c r="E647" s="275">
        <v>58234893</v>
      </c>
      <c r="F647" s="275"/>
      <c r="G647" s="105" t="s">
        <v>1956</v>
      </c>
      <c r="H647" s="276">
        <v>12</v>
      </c>
      <c r="I647" s="275">
        <v>128106040</v>
      </c>
      <c r="J647" s="106"/>
      <c r="K647" s="107"/>
      <c r="L647" s="149"/>
    </row>
    <row r="648" spans="1:12" x14ac:dyDescent="0.25">
      <c r="A648" s="476"/>
      <c r="B648" s="275" t="s">
        <v>504</v>
      </c>
      <c r="C648" s="276" t="s">
        <v>1964</v>
      </c>
      <c r="D648" s="276">
        <v>12</v>
      </c>
      <c r="E648" s="275">
        <v>58237090</v>
      </c>
      <c r="F648" s="275"/>
      <c r="G648" s="105" t="s">
        <v>1956</v>
      </c>
      <c r="H648" s="276">
        <v>12</v>
      </c>
      <c r="I648" s="275">
        <v>70939641</v>
      </c>
      <c r="J648" s="106"/>
      <c r="K648" s="107"/>
      <c r="L648" s="149"/>
    </row>
    <row r="649" spans="1:12" x14ac:dyDescent="0.25">
      <c r="A649" s="476"/>
      <c r="B649" s="275" t="s">
        <v>504</v>
      </c>
      <c r="C649" s="276" t="s">
        <v>1964</v>
      </c>
      <c r="D649" s="276">
        <v>12</v>
      </c>
      <c r="E649" s="275">
        <v>58237096</v>
      </c>
      <c r="F649" s="275"/>
      <c r="G649" s="105" t="s">
        <v>1956</v>
      </c>
      <c r="H649" s="276">
        <v>12</v>
      </c>
      <c r="I649" s="275">
        <v>69137137</v>
      </c>
      <c r="J649" s="106"/>
      <c r="K649" s="107"/>
      <c r="L649" s="149"/>
    </row>
    <row r="650" spans="1:12" x14ac:dyDescent="0.25">
      <c r="A650" s="476"/>
      <c r="B650" s="275" t="s">
        <v>504</v>
      </c>
      <c r="C650" s="276" t="s">
        <v>1964</v>
      </c>
      <c r="D650" s="276">
        <v>12</v>
      </c>
      <c r="E650" s="275">
        <v>58238480</v>
      </c>
      <c r="F650" s="275"/>
      <c r="G650" s="105" t="s">
        <v>1956</v>
      </c>
      <c r="H650" s="276">
        <v>12</v>
      </c>
      <c r="I650" s="275">
        <v>59183204</v>
      </c>
      <c r="J650" s="106"/>
      <c r="K650" s="107"/>
      <c r="L650" s="149"/>
    </row>
    <row r="651" spans="1:12" x14ac:dyDescent="0.25">
      <c r="A651" s="476"/>
      <c r="B651" s="275" t="s">
        <v>504</v>
      </c>
      <c r="C651" s="276" t="s">
        <v>1964</v>
      </c>
      <c r="D651" s="276">
        <v>12</v>
      </c>
      <c r="E651" s="275">
        <v>58238756</v>
      </c>
      <c r="F651" s="275"/>
      <c r="G651" s="105" t="s">
        <v>1956</v>
      </c>
      <c r="H651" s="276">
        <v>12</v>
      </c>
      <c r="I651" s="275">
        <v>58850233</v>
      </c>
      <c r="J651" s="106"/>
      <c r="K651" s="107"/>
      <c r="L651" s="149"/>
    </row>
    <row r="652" spans="1:12" x14ac:dyDescent="0.25">
      <c r="A652" s="476"/>
      <c r="B652" s="275" t="s">
        <v>504</v>
      </c>
      <c r="C652" s="276" t="s">
        <v>1964</v>
      </c>
      <c r="D652" s="276">
        <v>12</v>
      </c>
      <c r="E652" s="275">
        <v>58240438</v>
      </c>
      <c r="F652" s="275"/>
      <c r="G652" s="105" t="s">
        <v>1956</v>
      </c>
      <c r="H652" s="276">
        <v>12</v>
      </c>
      <c r="I652" s="275">
        <v>68708917</v>
      </c>
      <c r="J652" s="106"/>
      <c r="K652" s="107"/>
      <c r="L652" s="149"/>
    </row>
    <row r="653" spans="1:12" x14ac:dyDescent="0.25">
      <c r="A653" s="476"/>
      <c r="B653" s="275" t="s">
        <v>504</v>
      </c>
      <c r="C653" s="276" t="s">
        <v>1964</v>
      </c>
      <c r="D653" s="276">
        <v>12</v>
      </c>
      <c r="E653" s="275">
        <v>58240726</v>
      </c>
      <c r="F653" s="275"/>
      <c r="G653" s="105" t="s">
        <v>1956</v>
      </c>
      <c r="H653" s="276">
        <v>12</v>
      </c>
      <c r="I653" s="275">
        <v>128673459</v>
      </c>
      <c r="J653" s="106"/>
      <c r="K653" s="107"/>
      <c r="L653" s="149"/>
    </row>
    <row r="654" spans="1:12" x14ac:dyDescent="0.25">
      <c r="A654" s="476"/>
      <c r="B654" s="275" t="s">
        <v>504</v>
      </c>
      <c r="C654" s="276" t="s">
        <v>1954</v>
      </c>
      <c r="D654" s="276">
        <v>12</v>
      </c>
      <c r="E654" s="275">
        <v>58242310</v>
      </c>
      <c r="F654" s="275"/>
      <c r="G654" s="105" t="s">
        <v>1956</v>
      </c>
      <c r="H654" s="276">
        <v>12</v>
      </c>
      <c r="I654" s="275">
        <v>71005764</v>
      </c>
      <c r="J654" s="106"/>
      <c r="K654" s="107"/>
      <c r="L654" s="149"/>
    </row>
    <row r="655" spans="1:12" x14ac:dyDescent="0.25">
      <c r="A655" s="476"/>
      <c r="B655" s="275" t="s">
        <v>504</v>
      </c>
      <c r="C655" s="276" t="s">
        <v>1960</v>
      </c>
      <c r="D655" s="276">
        <v>12</v>
      </c>
      <c r="E655" s="275">
        <v>58245071</v>
      </c>
      <c r="F655" s="275"/>
      <c r="G655" s="105" t="s">
        <v>1956</v>
      </c>
      <c r="H655" s="276">
        <v>12</v>
      </c>
      <c r="I655" s="275">
        <v>69329050</v>
      </c>
      <c r="J655" s="106"/>
      <c r="K655" s="107"/>
      <c r="L655" s="149"/>
    </row>
    <row r="656" spans="1:12" x14ac:dyDescent="0.25">
      <c r="A656" s="476"/>
      <c r="B656" s="275" t="s">
        <v>504</v>
      </c>
      <c r="C656" s="276" t="s">
        <v>1964</v>
      </c>
      <c r="D656" s="276">
        <v>12</v>
      </c>
      <c r="E656" s="275">
        <v>58246433</v>
      </c>
      <c r="F656" s="275"/>
      <c r="G656" s="105" t="s">
        <v>1956</v>
      </c>
      <c r="H656" s="276">
        <v>12</v>
      </c>
      <c r="I656" s="275">
        <v>128292726</v>
      </c>
      <c r="J656" s="106"/>
      <c r="K656" s="107"/>
      <c r="L656" s="149"/>
    </row>
    <row r="657" spans="1:12" x14ac:dyDescent="0.25">
      <c r="A657" s="476"/>
      <c r="B657" s="275" t="s">
        <v>504</v>
      </c>
      <c r="C657" s="276" t="s">
        <v>1964</v>
      </c>
      <c r="D657" s="276">
        <v>12</v>
      </c>
      <c r="E657" s="275">
        <v>58247297</v>
      </c>
      <c r="F657" s="275"/>
      <c r="G657" s="105" t="s">
        <v>1956</v>
      </c>
      <c r="H657" s="276">
        <v>12</v>
      </c>
      <c r="I657" s="275">
        <v>58833774</v>
      </c>
      <c r="J657" s="106"/>
      <c r="K657" s="107"/>
      <c r="L657" s="149"/>
    </row>
    <row r="658" spans="1:12" x14ac:dyDescent="0.25">
      <c r="A658" s="476"/>
      <c r="B658" s="275" t="s">
        <v>504</v>
      </c>
      <c r="C658" s="276" t="s">
        <v>1954</v>
      </c>
      <c r="D658" s="276">
        <v>12</v>
      </c>
      <c r="E658" s="275">
        <v>58247686</v>
      </c>
      <c r="F658" s="275"/>
      <c r="G658" s="105" t="s">
        <v>1956</v>
      </c>
      <c r="H658" s="276">
        <v>12</v>
      </c>
      <c r="I658" s="275">
        <v>70951736</v>
      </c>
      <c r="J658" s="106"/>
      <c r="K658" s="107"/>
      <c r="L658" s="149"/>
    </row>
    <row r="659" spans="1:12" x14ac:dyDescent="0.25">
      <c r="A659" s="476"/>
      <c r="B659" s="275" t="s">
        <v>504</v>
      </c>
      <c r="C659" s="276" t="s">
        <v>1954</v>
      </c>
      <c r="D659" s="276">
        <v>12</v>
      </c>
      <c r="E659" s="275">
        <v>58248544</v>
      </c>
      <c r="F659" s="275"/>
      <c r="G659" s="105" t="s">
        <v>1956</v>
      </c>
      <c r="H659" s="276">
        <v>12</v>
      </c>
      <c r="I659" s="275">
        <v>128123009</v>
      </c>
      <c r="J659" s="106"/>
      <c r="K659" s="107"/>
      <c r="L659" s="149"/>
    </row>
    <row r="660" spans="1:12" x14ac:dyDescent="0.25">
      <c r="A660" s="476"/>
      <c r="B660" s="275" t="s">
        <v>504</v>
      </c>
      <c r="C660" s="276" t="s">
        <v>1964</v>
      </c>
      <c r="D660" s="276">
        <v>12</v>
      </c>
      <c r="E660" s="275">
        <v>58248601</v>
      </c>
      <c r="F660" s="275"/>
      <c r="G660" s="105" t="s">
        <v>1956</v>
      </c>
      <c r="H660" s="276">
        <v>12</v>
      </c>
      <c r="I660" s="275">
        <v>71136600</v>
      </c>
      <c r="J660" s="106"/>
      <c r="K660" s="107"/>
      <c r="L660" s="149"/>
    </row>
    <row r="661" spans="1:12" x14ac:dyDescent="0.25">
      <c r="A661" s="476"/>
      <c r="B661" s="275" t="s">
        <v>504</v>
      </c>
      <c r="C661" s="276" t="s">
        <v>1964</v>
      </c>
      <c r="D661" s="276">
        <v>12</v>
      </c>
      <c r="E661" s="275">
        <v>58248698</v>
      </c>
      <c r="F661" s="275"/>
      <c r="G661" s="105" t="s">
        <v>1956</v>
      </c>
      <c r="H661" s="276">
        <v>12</v>
      </c>
      <c r="I661" s="275">
        <v>68761686</v>
      </c>
      <c r="J661" s="106"/>
      <c r="K661" s="107"/>
      <c r="L661" s="149"/>
    </row>
    <row r="662" spans="1:12" x14ac:dyDescent="0.25">
      <c r="A662" s="476"/>
      <c r="B662" s="275" t="s">
        <v>504</v>
      </c>
      <c r="C662" s="276" t="s">
        <v>1960</v>
      </c>
      <c r="D662" s="276">
        <v>12</v>
      </c>
      <c r="E662" s="275">
        <v>58252634</v>
      </c>
      <c r="F662" s="275"/>
      <c r="G662" s="105" t="s">
        <v>1956</v>
      </c>
      <c r="H662" s="276">
        <v>12</v>
      </c>
      <c r="I662" s="275">
        <v>69835321</v>
      </c>
      <c r="J662" s="106"/>
      <c r="K662" s="107"/>
      <c r="L662" s="149"/>
    </row>
    <row r="663" spans="1:12" x14ac:dyDescent="0.25">
      <c r="A663" s="476"/>
      <c r="B663" s="275" t="s">
        <v>504</v>
      </c>
      <c r="C663" s="276" t="s">
        <v>1960</v>
      </c>
      <c r="D663" s="276">
        <v>12</v>
      </c>
      <c r="E663" s="275">
        <v>58255573</v>
      </c>
      <c r="F663" s="275"/>
      <c r="G663" s="105" t="s">
        <v>1956</v>
      </c>
      <c r="H663" s="276">
        <v>12</v>
      </c>
      <c r="I663" s="275">
        <v>59048263</v>
      </c>
      <c r="J663" s="106"/>
      <c r="K663" s="107"/>
      <c r="L663" s="149"/>
    </row>
    <row r="664" spans="1:12" x14ac:dyDescent="0.25">
      <c r="A664" s="476"/>
      <c r="B664" s="275" t="s">
        <v>504</v>
      </c>
      <c r="C664" s="276" t="s">
        <v>1960</v>
      </c>
      <c r="D664" s="276">
        <v>12</v>
      </c>
      <c r="E664" s="275">
        <v>58255791</v>
      </c>
      <c r="F664" s="275"/>
      <c r="G664" s="105" t="s">
        <v>1956</v>
      </c>
      <c r="H664" s="276">
        <v>12</v>
      </c>
      <c r="I664" s="275">
        <v>70166898</v>
      </c>
      <c r="J664" s="106"/>
      <c r="K664" s="107"/>
      <c r="L664" s="149"/>
    </row>
    <row r="665" spans="1:12" x14ac:dyDescent="0.25">
      <c r="A665" s="476"/>
      <c r="B665" s="275" t="s">
        <v>504</v>
      </c>
      <c r="C665" s="276" t="s">
        <v>1960</v>
      </c>
      <c r="D665" s="276">
        <v>12</v>
      </c>
      <c r="E665" s="275">
        <v>58256040</v>
      </c>
      <c r="F665" s="275"/>
      <c r="G665" s="105" t="s">
        <v>1956</v>
      </c>
      <c r="H665" s="276">
        <v>12</v>
      </c>
      <c r="I665" s="275">
        <v>69285990</v>
      </c>
      <c r="J665" s="106"/>
      <c r="K665" s="107"/>
      <c r="L665" s="149"/>
    </row>
    <row r="666" spans="1:12" x14ac:dyDescent="0.25">
      <c r="A666" s="476"/>
      <c r="B666" s="275" t="s">
        <v>504</v>
      </c>
      <c r="C666" s="276" t="s">
        <v>1964</v>
      </c>
      <c r="D666" s="276">
        <v>12</v>
      </c>
      <c r="E666" s="275">
        <v>58256621</v>
      </c>
      <c r="F666" s="275"/>
      <c r="G666" s="105" t="s">
        <v>1956</v>
      </c>
      <c r="H666" s="276">
        <v>12</v>
      </c>
      <c r="I666" s="275">
        <v>70133029</v>
      </c>
      <c r="J666" s="106"/>
      <c r="K666" s="107"/>
      <c r="L666" s="149"/>
    </row>
    <row r="667" spans="1:12" x14ac:dyDescent="0.25">
      <c r="A667" s="476"/>
      <c r="B667" s="275" t="s">
        <v>504</v>
      </c>
      <c r="C667" s="276" t="s">
        <v>1960</v>
      </c>
      <c r="D667" s="276">
        <v>12</v>
      </c>
      <c r="E667" s="275">
        <v>58257566</v>
      </c>
      <c r="F667" s="275"/>
      <c r="G667" s="105" t="s">
        <v>1956</v>
      </c>
      <c r="H667" s="276">
        <v>12</v>
      </c>
      <c r="I667" s="275">
        <v>58548408</v>
      </c>
      <c r="J667" s="106"/>
      <c r="K667" s="107"/>
      <c r="L667" s="149"/>
    </row>
    <row r="668" spans="1:12" x14ac:dyDescent="0.25">
      <c r="A668" s="476"/>
      <c r="B668" s="275" t="s">
        <v>504</v>
      </c>
      <c r="C668" s="276" t="s">
        <v>1964</v>
      </c>
      <c r="D668" s="276">
        <v>12</v>
      </c>
      <c r="E668" s="275">
        <v>58259006</v>
      </c>
      <c r="F668" s="275"/>
      <c r="G668" s="105" t="s">
        <v>1956</v>
      </c>
      <c r="H668" s="276">
        <v>12</v>
      </c>
      <c r="I668" s="275">
        <v>69505894</v>
      </c>
      <c r="J668" s="106"/>
      <c r="K668" s="107"/>
      <c r="L668" s="149"/>
    </row>
    <row r="669" spans="1:12" x14ac:dyDescent="0.25">
      <c r="A669" s="476"/>
      <c r="B669" s="275" t="s">
        <v>504</v>
      </c>
      <c r="C669" s="276" t="s">
        <v>1954</v>
      </c>
      <c r="D669" s="276">
        <v>12</v>
      </c>
      <c r="E669" s="275">
        <v>58259962</v>
      </c>
      <c r="F669" s="275"/>
      <c r="G669" s="105" t="s">
        <v>1956</v>
      </c>
      <c r="H669" s="276">
        <v>12</v>
      </c>
      <c r="I669" s="275">
        <v>71240335</v>
      </c>
      <c r="J669" s="106"/>
      <c r="K669" s="107"/>
      <c r="L669" s="149"/>
    </row>
    <row r="670" spans="1:12" x14ac:dyDescent="0.25">
      <c r="A670" s="476"/>
      <c r="B670" s="275" t="s">
        <v>504</v>
      </c>
      <c r="C670" s="276" t="s">
        <v>1964</v>
      </c>
      <c r="D670" s="276">
        <v>12</v>
      </c>
      <c r="E670" s="275">
        <v>58267055</v>
      </c>
      <c r="F670" s="275"/>
      <c r="G670" s="105" t="s">
        <v>1956</v>
      </c>
      <c r="H670" s="276">
        <v>12</v>
      </c>
      <c r="I670" s="275">
        <v>58399680</v>
      </c>
      <c r="J670" s="106"/>
      <c r="K670" s="107"/>
      <c r="L670" s="149"/>
    </row>
    <row r="671" spans="1:12" x14ac:dyDescent="0.25">
      <c r="A671" s="476"/>
      <c r="B671" s="275" t="s">
        <v>504</v>
      </c>
      <c r="C671" s="276" t="s">
        <v>1960</v>
      </c>
      <c r="D671" s="276">
        <v>12</v>
      </c>
      <c r="E671" s="275">
        <v>58268523</v>
      </c>
      <c r="F671" s="275"/>
      <c r="G671" s="105" t="s">
        <v>1956</v>
      </c>
      <c r="H671" s="276">
        <v>12</v>
      </c>
      <c r="I671" s="275">
        <v>70228666</v>
      </c>
      <c r="J671" s="106"/>
      <c r="K671" s="107"/>
      <c r="L671" s="149"/>
    </row>
    <row r="672" spans="1:12" x14ac:dyDescent="0.25">
      <c r="A672" s="476"/>
      <c r="B672" s="275" t="s">
        <v>504</v>
      </c>
      <c r="C672" s="276" t="s">
        <v>1960</v>
      </c>
      <c r="D672" s="276">
        <v>12</v>
      </c>
      <c r="E672" s="275">
        <v>58270303</v>
      </c>
      <c r="F672" s="275"/>
      <c r="G672" s="105" t="s">
        <v>1956</v>
      </c>
      <c r="H672" s="276">
        <v>12</v>
      </c>
      <c r="I672" s="275">
        <v>69200842</v>
      </c>
      <c r="J672" s="106"/>
      <c r="K672" s="107"/>
      <c r="L672" s="149"/>
    </row>
    <row r="673" spans="1:12" x14ac:dyDescent="0.25">
      <c r="A673" s="476"/>
      <c r="B673" s="275" t="s">
        <v>504</v>
      </c>
      <c r="C673" s="276" t="s">
        <v>1964</v>
      </c>
      <c r="D673" s="276">
        <v>12</v>
      </c>
      <c r="E673" s="275">
        <v>58271339</v>
      </c>
      <c r="F673" s="275"/>
      <c r="G673" s="105" t="s">
        <v>1956</v>
      </c>
      <c r="H673" s="276">
        <v>12</v>
      </c>
      <c r="I673" s="275">
        <v>128221706</v>
      </c>
      <c r="J673" s="106"/>
      <c r="K673" s="107"/>
      <c r="L673" s="149"/>
    </row>
    <row r="674" spans="1:12" x14ac:dyDescent="0.25">
      <c r="A674" s="476"/>
      <c r="B674" s="275" t="s">
        <v>504</v>
      </c>
      <c r="C674" s="276" t="s">
        <v>1964</v>
      </c>
      <c r="D674" s="276">
        <v>12</v>
      </c>
      <c r="E674" s="275">
        <v>58276139</v>
      </c>
      <c r="F674" s="275"/>
      <c r="G674" s="105" t="s">
        <v>1956</v>
      </c>
      <c r="H674" s="276">
        <v>12</v>
      </c>
      <c r="I674" s="275">
        <v>128625599</v>
      </c>
      <c r="J674" s="106"/>
      <c r="K674" s="107"/>
      <c r="L674" s="149"/>
    </row>
    <row r="675" spans="1:12" x14ac:dyDescent="0.25">
      <c r="A675" s="476"/>
      <c r="B675" s="275" t="s">
        <v>504</v>
      </c>
      <c r="C675" s="276" t="s">
        <v>1960</v>
      </c>
      <c r="D675" s="276">
        <v>12</v>
      </c>
      <c r="E675" s="275">
        <v>58281510</v>
      </c>
      <c r="F675" s="275"/>
      <c r="G675" s="105" t="s">
        <v>1956</v>
      </c>
      <c r="H675" s="276">
        <v>12</v>
      </c>
      <c r="I675" s="275">
        <v>69610717</v>
      </c>
      <c r="J675" s="106"/>
      <c r="K675" s="107"/>
      <c r="L675" s="149"/>
    </row>
    <row r="676" spans="1:12" x14ac:dyDescent="0.25">
      <c r="A676" s="476"/>
      <c r="B676" s="275" t="s">
        <v>504</v>
      </c>
      <c r="C676" s="276" t="s">
        <v>1964</v>
      </c>
      <c r="D676" s="276">
        <v>12</v>
      </c>
      <c r="E676" s="275">
        <v>58282027</v>
      </c>
      <c r="F676" s="275"/>
      <c r="G676" s="105" t="s">
        <v>1956</v>
      </c>
      <c r="H676" s="276">
        <v>12</v>
      </c>
      <c r="I676" s="275">
        <v>59262533</v>
      </c>
      <c r="J676" s="106"/>
      <c r="K676" s="107"/>
      <c r="L676" s="149"/>
    </row>
    <row r="677" spans="1:12" x14ac:dyDescent="0.25">
      <c r="A677" s="476"/>
      <c r="B677" s="275" t="s">
        <v>504</v>
      </c>
      <c r="C677" s="276" t="s">
        <v>1954</v>
      </c>
      <c r="D677" s="276">
        <v>12</v>
      </c>
      <c r="E677" s="275">
        <v>58283326</v>
      </c>
      <c r="F677" s="275"/>
      <c r="G677" s="105" t="s">
        <v>1956</v>
      </c>
      <c r="H677" s="276">
        <v>12</v>
      </c>
      <c r="I677" s="275">
        <v>58459511</v>
      </c>
      <c r="J677" s="106"/>
      <c r="K677" s="107"/>
      <c r="L677" s="149"/>
    </row>
    <row r="678" spans="1:12" x14ac:dyDescent="0.25">
      <c r="A678" s="476"/>
      <c r="B678" s="275" t="s">
        <v>504</v>
      </c>
      <c r="C678" s="276" t="s">
        <v>1964</v>
      </c>
      <c r="D678" s="276">
        <v>12</v>
      </c>
      <c r="E678" s="275">
        <v>58284860</v>
      </c>
      <c r="F678" s="275"/>
      <c r="G678" s="105" t="s">
        <v>1956</v>
      </c>
      <c r="H678" s="276">
        <v>12</v>
      </c>
      <c r="I678" s="275">
        <v>70034809</v>
      </c>
      <c r="J678" s="106"/>
      <c r="K678" s="107"/>
      <c r="L678" s="149"/>
    </row>
    <row r="679" spans="1:12" x14ac:dyDescent="0.25">
      <c r="A679" s="476"/>
      <c r="B679" s="275" t="s">
        <v>504</v>
      </c>
      <c r="C679" s="276" t="s">
        <v>1954</v>
      </c>
      <c r="D679" s="276">
        <v>12</v>
      </c>
      <c r="E679" s="275">
        <v>58285901</v>
      </c>
      <c r="F679" s="275"/>
      <c r="G679" s="105" t="s">
        <v>1956</v>
      </c>
      <c r="H679" s="276">
        <v>12</v>
      </c>
      <c r="I679" s="275">
        <v>128693332</v>
      </c>
      <c r="J679" s="106"/>
      <c r="K679" s="107"/>
      <c r="L679" s="149"/>
    </row>
    <row r="680" spans="1:12" x14ac:dyDescent="0.25">
      <c r="A680" s="476"/>
      <c r="B680" s="275" t="s">
        <v>504</v>
      </c>
      <c r="C680" s="276" t="s">
        <v>1964</v>
      </c>
      <c r="D680" s="276">
        <v>12</v>
      </c>
      <c r="E680" s="275">
        <v>58289498</v>
      </c>
      <c r="F680" s="275"/>
      <c r="G680" s="105" t="s">
        <v>1956</v>
      </c>
      <c r="H680" s="276">
        <v>12</v>
      </c>
      <c r="I680" s="275">
        <v>69950309</v>
      </c>
      <c r="J680" s="106"/>
      <c r="K680" s="107"/>
      <c r="L680" s="149"/>
    </row>
    <row r="681" spans="1:12" x14ac:dyDescent="0.25">
      <c r="A681" s="476"/>
      <c r="B681" s="275" t="s">
        <v>504</v>
      </c>
      <c r="C681" s="276" t="s">
        <v>1960</v>
      </c>
      <c r="D681" s="276">
        <v>12</v>
      </c>
      <c r="E681" s="275">
        <v>58290395</v>
      </c>
      <c r="F681" s="275"/>
      <c r="G681" s="105" t="s">
        <v>1956</v>
      </c>
      <c r="H681" s="276">
        <v>12</v>
      </c>
      <c r="I681" s="275">
        <v>69584034</v>
      </c>
      <c r="J681" s="106"/>
      <c r="K681" s="107"/>
      <c r="L681" s="149"/>
    </row>
    <row r="682" spans="1:12" x14ac:dyDescent="0.25">
      <c r="A682" s="476"/>
      <c r="B682" s="275" t="s">
        <v>504</v>
      </c>
      <c r="C682" s="276" t="s">
        <v>1964</v>
      </c>
      <c r="D682" s="276">
        <v>12</v>
      </c>
      <c r="E682" s="275">
        <v>58294762</v>
      </c>
      <c r="F682" s="275"/>
      <c r="G682" s="105" t="s">
        <v>1956</v>
      </c>
      <c r="H682" s="276">
        <v>12</v>
      </c>
      <c r="I682" s="275">
        <v>69637192</v>
      </c>
      <c r="J682" s="106"/>
      <c r="K682" s="107"/>
      <c r="L682" s="149"/>
    </row>
    <row r="683" spans="1:12" x14ac:dyDescent="0.25">
      <c r="A683" s="476"/>
      <c r="B683" s="275" t="s">
        <v>504</v>
      </c>
      <c r="C683" s="276" t="s">
        <v>1954</v>
      </c>
      <c r="D683" s="276">
        <v>12</v>
      </c>
      <c r="E683" s="275">
        <v>58296619</v>
      </c>
      <c r="F683" s="275"/>
      <c r="G683" s="105" t="s">
        <v>1956</v>
      </c>
      <c r="H683" s="276">
        <v>12</v>
      </c>
      <c r="I683" s="275">
        <v>69358431</v>
      </c>
      <c r="J683" s="106"/>
      <c r="K683" s="107"/>
      <c r="L683" s="149"/>
    </row>
    <row r="684" spans="1:12" x14ac:dyDescent="0.25">
      <c r="A684" s="476"/>
      <c r="B684" s="275" t="s">
        <v>504</v>
      </c>
      <c r="C684" s="276" t="s">
        <v>1964</v>
      </c>
      <c r="D684" s="276">
        <v>12</v>
      </c>
      <c r="E684" s="275">
        <v>58300605</v>
      </c>
      <c r="F684" s="275"/>
      <c r="G684" s="105" t="s">
        <v>1956</v>
      </c>
      <c r="H684" s="276">
        <v>12</v>
      </c>
      <c r="I684" s="275">
        <v>69978179</v>
      </c>
      <c r="J684" s="106"/>
      <c r="K684" s="107"/>
      <c r="L684" s="149"/>
    </row>
    <row r="685" spans="1:12" x14ac:dyDescent="0.25">
      <c r="A685" s="476"/>
      <c r="B685" s="275" t="s">
        <v>504</v>
      </c>
      <c r="C685" s="276" t="s">
        <v>1960</v>
      </c>
      <c r="D685" s="276">
        <v>12</v>
      </c>
      <c r="E685" s="275">
        <v>58301288</v>
      </c>
      <c r="F685" s="275"/>
      <c r="G685" s="105" t="s">
        <v>1956</v>
      </c>
      <c r="H685" s="276">
        <v>12</v>
      </c>
      <c r="I685" s="275">
        <v>69264521</v>
      </c>
      <c r="J685" s="106"/>
      <c r="K685" s="107"/>
      <c r="L685" s="149"/>
    </row>
    <row r="686" spans="1:12" x14ac:dyDescent="0.25">
      <c r="A686" s="476"/>
      <c r="B686" s="275" t="s">
        <v>504</v>
      </c>
      <c r="C686" s="276" t="s">
        <v>1964</v>
      </c>
      <c r="D686" s="276">
        <v>12</v>
      </c>
      <c r="E686" s="275">
        <v>58303462</v>
      </c>
      <c r="F686" s="275"/>
      <c r="G686" s="105" t="s">
        <v>1956</v>
      </c>
      <c r="H686" s="276">
        <v>12</v>
      </c>
      <c r="I686" s="275">
        <v>70153879</v>
      </c>
      <c r="J686" s="106"/>
      <c r="K686" s="107"/>
      <c r="L686" s="149"/>
    </row>
    <row r="687" spans="1:12" x14ac:dyDescent="0.25">
      <c r="A687" s="476"/>
      <c r="B687" s="275" t="s">
        <v>504</v>
      </c>
      <c r="C687" s="276" t="s">
        <v>1964</v>
      </c>
      <c r="D687" s="276">
        <v>12</v>
      </c>
      <c r="E687" s="275">
        <v>58304046</v>
      </c>
      <c r="F687" s="275"/>
      <c r="G687" s="105" t="s">
        <v>1956</v>
      </c>
      <c r="H687" s="276">
        <v>12</v>
      </c>
      <c r="I687" s="275">
        <v>71197642</v>
      </c>
      <c r="J687" s="106"/>
      <c r="K687" s="107"/>
      <c r="L687" s="149"/>
    </row>
    <row r="688" spans="1:12" x14ac:dyDescent="0.25">
      <c r="A688" s="476"/>
      <c r="B688" s="275" t="s">
        <v>504</v>
      </c>
      <c r="C688" s="276" t="s">
        <v>1960</v>
      </c>
      <c r="D688" s="276">
        <v>12</v>
      </c>
      <c r="E688" s="275">
        <v>58309578</v>
      </c>
      <c r="F688" s="275"/>
      <c r="G688" s="105" t="s">
        <v>1956</v>
      </c>
      <c r="H688" s="276">
        <v>12</v>
      </c>
      <c r="I688" s="275">
        <v>128039767</v>
      </c>
      <c r="J688" s="106"/>
      <c r="K688" s="107"/>
      <c r="L688" s="149"/>
    </row>
    <row r="689" spans="1:12" x14ac:dyDescent="0.25">
      <c r="A689" s="476"/>
      <c r="B689" s="275" t="s">
        <v>504</v>
      </c>
      <c r="C689" s="276" t="s">
        <v>1964</v>
      </c>
      <c r="D689" s="276">
        <v>12</v>
      </c>
      <c r="E689" s="275">
        <v>58309824</v>
      </c>
      <c r="F689" s="275"/>
      <c r="G689" s="105" t="s">
        <v>1956</v>
      </c>
      <c r="H689" s="276">
        <v>12</v>
      </c>
      <c r="I689" s="275">
        <v>69375809</v>
      </c>
      <c r="J689" s="106"/>
      <c r="K689" s="107"/>
      <c r="L689" s="149"/>
    </row>
    <row r="690" spans="1:12" x14ac:dyDescent="0.25">
      <c r="A690" s="476"/>
      <c r="B690" s="275" t="s">
        <v>504</v>
      </c>
      <c r="C690" s="276" t="s">
        <v>1954</v>
      </c>
      <c r="D690" s="276">
        <v>12</v>
      </c>
      <c r="E690" s="275">
        <v>58309941</v>
      </c>
      <c r="F690" s="275"/>
      <c r="G690" s="105" t="s">
        <v>1956</v>
      </c>
      <c r="H690" s="276">
        <v>12</v>
      </c>
      <c r="I690" s="275">
        <v>58328793</v>
      </c>
      <c r="J690" s="106"/>
      <c r="K690" s="107"/>
      <c r="L690" s="149"/>
    </row>
    <row r="691" spans="1:12" x14ac:dyDescent="0.25">
      <c r="A691" s="476"/>
      <c r="B691" s="275" t="s">
        <v>504</v>
      </c>
      <c r="C691" s="276" t="s">
        <v>1964</v>
      </c>
      <c r="D691" s="276">
        <v>12</v>
      </c>
      <c r="E691" s="275">
        <v>58310871</v>
      </c>
      <c r="F691" s="275"/>
      <c r="G691" s="105" t="s">
        <v>1956</v>
      </c>
      <c r="H691" s="276">
        <v>12</v>
      </c>
      <c r="I691" s="275">
        <v>128716438</v>
      </c>
      <c r="J691" s="106"/>
      <c r="K691" s="107"/>
      <c r="L691" s="149"/>
    </row>
    <row r="692" spans="1:12" x14ac:dyDescent="0.25">
      <c r="A692" s="476"/>
      <c r="B692" s="275" t="s">
        <v>504</v>
      </c>
      <c r="C692" s="276" t="s">
        <v>1960</v>
      </c>
      <c r="D692" s="276">
        <v>12</v>
      </c>
      <c r="E692" s="275">
        <v>58311265</v>
      </c>
      <c r="F692" s="275"/>
      <c r="G692" s="105" t="s">
        <v>1956</v>
      </c>
      <c r="H692" s="276">
        <v>12</v>
      </c>
      <c r="I692" s="275">
        <v>70426911</v>
      </c>
      <c r="J692" s="106"/>
      <c r="K692" s="107"/>
      <c r="L692" s="149"/>
    </row>
    <row r="693" spans="1:12" x14ac:dyDescent="0.25">
      <c r="A693" s="476"/>
      <c r="B693" s="275" t="s">
        <v>504</v>
      </c>
      <c r="C693" s="276" t="s">
        <v>1954</v>
      </c>
      <c r="D693" s="276">
        <v>12</v>
      </c>
      <c r="E693" s="275">
        <v>58312633</v>
      </c>
      <c r="F693" s="275"/>
      <c r="G693" s="105" t="s">
        <v>1956</v>
      </c>
      <c r="H693" s="276">
        <v>12</v>
      </c>
      <c r="I693" s="275">
        <v>128451705</v>
      </c>
      <c r="J693" s="106"/>
      <c r="K693" s="107"/>
      <c r="L693" s="149"/>
    </row>
    <row r="694" spans="1:12" x14ac:dyDescent="0.25">
      <c r="A694" s="476"/>
      <c r="B694" s="275" t="s">
        <v>504</v>
      </c>
      <c r="C694" s="276" t="s">
        <v>1954</v>
      </c>
      <c r="D694" s="276">
        <v>12</v>
      </c>
      <c r="E694" s="275">
        <v>58312645</v>
      </c>
      <c r="F694" s="275"/>
      <c r="G694" s="105" t="s">
        <v>1956</v>
      </c>
      <c r="H694" s="276">
        <v>12</v>
      </c>
      <c r="I694" s="275">
        <v>70447806</v>
      </c>
      <c r="J694" s="106"/>
      <c r="K694" s="107"/>
      <c r="L694" s="149"/>
    </row>
    <row r="695" spans="1:12" x14ac:dyDescent="0.25">
      <c r="A695" s="476"/>
      <c r="B695" s="275" t="s">
        <v>504</v>
      </c>
      <c r="C695" s="276" t="s">
        <v>1960</v>
      </c>
      <c r="D695" s="276">
        <v>12</v>
      </c>
      <c r="E695" s="275">
        <v>58313861</v>
      </c>
      <c r="F695" s="275"/>
      <c r="G695" s="105" t="s">
        <v>1956</v>
      </c>
      <c r="H695" s="276">
        <v>12</v>
      </c>
      <c r="I695" s="275">
        <v>69551305</v>
      </c>
      <c r="J695" s="106"/>
      <c r="K695" s="107"/>
      <c r="L695" s="149"/>
    </row>
    <row r="696" spans="1:12" x14ac:dyDescent="0.25">
      <c r="A696" s="476"/>
      <c r="B696" s="275" t="s">
        <v>504</v>
      </c>
      <c r="C696" s="276" t="s">
        <v>1960</v>
      </c>
      <c r="D696" s="276">
        <v>12</v>
      </c>
      <c r="E696" s="275">
        <v>58317058</v>
      </c>
      <c r="F696" s="275"/>
      <c r="G696" s="105" t="s">
        <v>1956</v>
      </c>
      <c r="H696" s="276">
        <v>12</v>
      </c>
      <c r="I696" s="275">
        <v>69087101</v>
      </c>
      <c r="J696" s="106"/>
      <c r="K696" s="107"/>
      <c r="L696" s="149"/>
    </row>
    <row r="697" spans="1:12" x14ac:dyDescent="0.25">
      <c r="A697" s="476"/>
      <c r="B697" s="275" t="s">
        <v>504</v>
      </c>
      <c r="C697" s="276" t="s">
        <v>1964</v>
      </c>
      <c r="D697" s="276">
        <v>12</v>
      </c>
      <c r="E697" s="275">
        <v>58318596</v>
      </c>
      <c r="F697" s="275"/>
      <c r="G697" s="105" t="s">
        <v>1956</v>
      </c>
      <c r="H697" s="276">
        <v>12</v>
      </c>
      <c r="I697" s="275">
        <v>69455170</v>
      </c>
      <c r="J697" s="106"/>
      <c r="K697" s="107"/>
      <c r="L697" s="149"/>
    </row>
    <row r="698" spans="1:12" x14ac:dyDescent="0.25">
      <c r="A698" s="476"/>
      <c r="B698" s="275" t="s">
        <v>504</v>
      </c>
      <c r="C698" s="276" t="s">
        <v>1964</v>
      </c>
      <c r="D698" s="276">
        <v>12</v>
      </c>
      <c r="E698" s="275">
        <v>58320294</v>
      </c>
      <c r="F698" s="275"/>
      <c r="G698" s="105" t="s">
        <v>1956</v>
      </c>
      <c r="H698" s="276">
        <v>12</v>
      </c>
      <c r="I698" s="275">
        <v>128608731</v>
      </c>
      <c r="J698" s="106"/>
      <c r="K698" s="107"/>
      <c r="L698" s="149"/>
    </row>
    <row r="699" spans="1:12" x14ac:dyDescent="0.25">
      <c r="A699" s="476"/>
      <c r="B699" s="275" t="s">
        <v>504</v>
      </c>
      <c r="C699" s="276" t="s">
        <v>1964</v>
      </c>
      <c r="D699" s="276">
        <v>12</v>
      </c>
      <c r="E699" s="275">
        <v>58321134</v>
      </c>
      <c r="F699" s="275"/>
      <c r="G699" s="105" t="s">
        <v>1956</v>
      </c>
      <c r="H699" s="276">
        <v>12</v>
      </c>
      <c r="I699" s="275">
        <v>70928130</v>
      </c>
      <c r="J699" s="106"/>
      <c r="K699" s="107"/>
      <c r="L699" s="149"/>
    </row>
    <row r="700" spans="1:12" x14ac:dyDescent="0.25">
      <c r="A700" s="476"/>
      <c r="B700" s="275" t="s">
        <v>504</v>
      </c>
      <c r="C700" s="276" t="s">
        <v>1964</v>
      </c>
      <c r="D700" s="276">
        <v>12</v>
      </c>
      <c r="E700" s="275">
        <v>58321342</v>
      </c>
      <c r="F700" s="275"/>
      <c r="G700" s="105" t="s">
        <v>1956</v>
      </c>
      <c r="H700" s="276">
        <v>12</v>
      </c>
      <c r="I700" s="275">
        <v>69238918</v>
      </c>
      <c r="J700" s="106"/>
      <c r="K700" s="107"/>
      <c r="L700" s="149"/>
    </row>
    <row r="701" spans="1:12" x14ac:dyDescent="0.25">
      <c r="A701" s="476"/>
      <c r="B701" s="275" t="s">
        <v>504</v>
      </c>
      <c r="C701" s="276" t="s">
        <v>1960</v>
      </c>
      <c r="D701" s="276">
        <v>12</v>
      </c>
      <c r="E701" s="275">
        <v>58323190</v>
      </c>
      <c r="F701" s="275"/>
      <c r="G701" s="105" t="s">
        <v>1956</v>
      </c>
      <c r="H701" s="276">
        <v>12</v>
      </c>
      <c r="I701" s="275">
        <v>69119067</v>
      </c>
      <c r="J701" s="106"/>
      <c r="K701" s="107"/>
      <c r="L701" s="149"/>
    </row>
    <row r="702" spans="1:12" x14ac:dyDescent="0.25">
      <c r="A702" s="476"/>
      <c r="B702" s="275" t="s">
        <v>504</v>
      </c>
      <c r="C702" s="276" t="s">
        <v>1964</v>
      </c>
      <c r="D702" s="276">
        <v>12</v>
      </c>
      <c r="E702" s="275">
        <v>58326681</v>
      </c>
      <c r="F702" s="275"/>
      <c r="G702" s="105" t="s">
        <v>1956</v>
      </c>
      <c r="H702" s="276">
        <v>12</v>
      </c>
      <c r="I702" s="275">
        <v>70030844</v>
      </c>
      <c r="J702" s="106"/>
      <c r="K702" s="107"/>
      <c r="L702" s="149"/>
    </row>
    <row r="703" spans="1:12" x14ac:dyDescent="0.25">
      <c r="A703" s="476"/>
      <c r="B703" s="275" t="s">
        <v>504</v>
      </c>
      <c r="C703" s="276" t="s">
        <v>1964</v>
      </c>
      <c r="D703" s="276">
        <v>12</v>
      </c>
      <c r="E703" s="275">
        <v>58329345</v>
      </c>
      <c r="F703" s="275"/>
      <c r="G703" s="105" t="s">
        <v>1956</v>
      </c>
      <c r="H703" s="276">
        <v>12</v>
      </c>
      <c r="I703" s="275">
        <v>58370438</v>
      </c>
      <c r="J703" s="106"/>
      <c r="K703" s="107"/>
      <c r="L703" s="149"/>
    </row>
    <row r="704" spans="1:12" x14ac:dyDescent="0.25">
      <c r="A704" s="476"/>
      <c r="B704" s="275" t="s">
        <v>504</v>
      </c>
      <c r="C704" s="276" t="s">
        <v>1954</v>
      </c>
      <c r="D704" s="276">
        <v>12</v>
      </c>
      <c r="E704" s="275">
        <v>58331906</v>
      </c>
      <c r="F704" s="275"/>
      <c r="G704" s="105" t="s">
        <v>1956</v>
      </c>
      <c r="H704" s="276">
        <v>12</v>
      </c>
      <c r="I704" s="275">
        <v>59267722</v>
      </c>
      <c r="J704" s="106"/>
      <c r="K704" s="107"/>
      <c r="L704" s="149"/>
    </row>
    <row r="705" spans="1:12" x14ac:dyDescent="0.25">
      <c r="A705" s="476"/>
      <c r="B705" s="275" t="s">
        <v>504</v>
      </c>
      <c r="C705" s="276" t="s">
        <v>1964</v>
      </c>
      <c r="D705" s="276">
        <v>12</v>
      </c>
      <c r="E705" s="275">
        <v>58333755</v>
      </c>
      <c r="F705" s="275"/>
      <c r="G705" s="105" t="s">
        <v>1956</v>
      </c>
      <c r="H705" s="276">
        <v>12</v>
      </c>
      <c r="I705" s="275">
        <v>70263936</v>
      </c>
      <c r="J705" s="106"/>
      <c r="K705" s="107"/>
      <c r="L705" s="149"/>
    </row>
    <row r="706" spans="1:12" x14ac:dyDescent="0.25">
      <c r="A706" s="476"/>
      <c r="B706" s="275" t="s">
        <v>504</v>
      </c>
      <c r="C706" s="276" t="s">
        <v>1964</v>
      </c>
      <c r="D706" s="276">
        <v>12</v>
      </c>
      <c r="E706" s="275">
        <v>58334400</v>
      </c>
      <c r="F706" s="275"/>
      <c r="G706" s="105" t="s">
        <v>1956</v>
      </c>
      <c r="H706" s="276">
        <v>12</v>
      </c>
      <c r="I706" s="275">
        <v>128272218</v>
      </c>
      <c r="J706" s="106"/>
      <c r="K706" s="107"/>
      <c r="L706" s="149"/>
    </row>
    <row r="707" spans="1:12" x14ac:dyDescent="0.25">
      <c r="A707" s="476"/>
      <c r="B707" s="275" t="s">
        <v>504</v>
      </c>
      <c r="C707" s="276" t="s">
        <v>1964</v>
      </c>
      <c r="D707" s="276">
        <v>12</v>
      </c>
      <c r="E707" s="275">
        <v>58337807</v>
      </c>
      <c r="F707" s="275"/>
      <c r="G707" s="105" t="s">
        <v>1956</v>
      </c>
      <c r="H707" s="276">
        <v>12</v>
      </c>
      <c r="I707" s="275">
        <v>59004642</v>
      </c>
      <c r="J707" s="106"/>
      <c r="K707" s="107"/>
      <c r="L707" s="149"/>
    </row>
    <row r="708" spans="1:12" x14ac:dyDescent="0.25">
      <c r="A708" s="476"/>
      <c r="B708" s="275" t="s">
        <v>504</v>
      </c>
      <c r="C708" s="276" t="s">
        <v>1954</v>
      </c>
      <c r="D708" s="276">
        <v>12</v>
      </c>
      <c r="E708" s="275">
        <v>58345161</v>
      </c>
      <c r="F708" s="275"/>
      <c r="G708" s="105" t="s">
        <v>1956</v>
      </c>
      <c r="H708" s="276">
        <v>12</v>
      </c>
      <c r="I708" s="275">
        <v>69586426</v>
      </c>
      <c r="J708" s="106"/>
      <c r="K708" s="107"/>
      <c r="L708" s="149"/>
    </row>
    <row r="709" spans="1:12" x14ac:dyDescent="0.25">
      <c r="A709" s="476"/>
      <c r="B709" s="275" t="s">
        <v>504</v>
      </c>
      <c r="C709" s="276" t="s">
        <v>1964</v>
      </c>
      <c r="D709" s="276">
        <v>12</v>
      </c>
      <c r="E709" s="275">
        <v>58349162</v>
      </c>
      <c r="F709" s="275"/>
      <c r="G709" s="105" t="s">
        <v>1956</v>
      </c>
      <c r="H709" s="276">
        <v>12</v>
      </c>
      <c r="I709" s="275">
        <v>59199668</v>
      </c>
      <c r="J709" s="106"/>
      <c r="K709" s="107"/>
      <c r="L709" s="149"/>
    </row>
    <row r="710" spans="1:12" x14ac:dyDescent="0.25">
      <c r="A710" s="476"/>
      <c r="B710" s="275" t="s">
        <v>504</v>
      </c>
      <c r="C710" s="276" t="s">
        <v>1964</v>
      </c>
      <c r="D710" s="276">
        <v>12</v>
      </c>
      <c r="E710" s="275">
        <v>58349841</v>
      </c>
      <c r="F710" s="275"/>
      <c r="G710" s="105" t="s">
        <v>1956</v>
      </c>
      <c r="H710" s="276">
        <v>12</v>
      </c>
      <c r="I710" s="275">
        <v>69395197</v>
      </c>
      <c r="J710" s="106"/>
      <c r="K710" s="107"/>
      <c r="L710" s="149"/>
    </row>
    <row r="711" spans="1:12" x14ac:dyDescent="0.25">
      <c r="A711" s="476"/>
      <c r="B711" s="275" t="s">
        <v>504</v>
      </c>
      <c r="C711" s="276" t="s">
        <v>1960</v>
      </c>
      <c r="D711" s="276">
        <v>12</v>
      </c>
      <c r="E711" s="275">
        <v>58355135</v>
      </c>
      <c r="F711" s="275"/>
      <c r="G711" s="105" t="s">
        <v>1956</v>
      </c>
      <c r="H711" s="276">
        <v>12</v>
      </c>
      <c r="I711" s="275">
        <v>70062142</v>
      </c>
      <c r="J711" s="106"/>
      <c r="K711" s="107"/>
      <c r="L711" s="149"/>
    </row>
    <row r="712" spans="1:12" x14ac:dyDescent="0.25">
      <c r="A712" s="476"/>
      <c r="B712" s="275" t="s">
        <v>504</v>
      </c>
      <c r="C712" s="276" t="s">
        <v>1954</v>
      </c>
      <c r="D712" s="276">
        <v>12</v>
      </c>
      <c r="E712" s="275">
        <v>58364010</v>
      </c>
      <c r="F712" s="275"/>
      <c r="G712" s="105" t="s">
        <v>1956</v>
      </c>
      <c r="H712" s="276">
        <v>12</v>
      </c>
      <c r="I712" s="275">
        <v>69573740</v>
      </c>
      <c r="J712" s="106"/>
      <c r="K712" s="107"/>
      <c r="L712" s="149"/>
    </row>
    <row r="713" spans="1:12" x14ac:dyDescent="0.25">
      <c r="A713" s="476"/>
      <c r="B713" s="275" t="s">
        <v>504</v>
      </c>
      <c r="C713" s="276" t="s">
        <v>1960</v>
      </c>
      <c r="D713" s="276">
        <v>12</v>
      </c>
      <c r="E713" s="275">
        <v>58367546</v>
      </c>
      <c r="F713" s="275"/>
      <c r="G713" s="105" t="s">
        <v>1956</v>
      </c>
      <c r="H713" s="276">
        <v>12</v>
      </c>
      <c r="I713" s="275">
        <v>69377463</v>
      </c>
      <c r="J713" s="106"/>
      <c r="K713" s="107"/>
      <c r="L713" s="149"/>
    </row>
    <row r="714" spans="1:12" x14ac:dyDescent="0.25">
      <c r="A714" s="476"/>
      <c r="B714" s="275" t="s">
        <v>504</v>
      </c>
      <c r="C714" s="276" t="s">
        <v>1960</v>
      </c>
      <c r="D714" s="276">
        <v>12</v>
      </c>
      <c r="E714" s="275">
        <v>58375061</v>
      </c>
      <c r="F714" s="275"/>
      <c r="G714" s="105" t="s">
        <v>1956</v>
      </c>
      <c r="H714" s="276">
        <v>12</v>
      </c>
      <c r="I714" s="275">
        <v>58542017</v>
      </c>
      <c r="J714" s="106"/>
      <c r="K714" s="107"/>
      <c r="L714" s="149"/>
    </row>
    <row r="715" spans="1:12" x14ac:dyDescent="0.25">
      <c r="A715" s="476"/>
      <c r="B715" s="275" t="s">
        <v>504</v>
      </c>
      <c r="C715" s="276" t="s">
        <v>1964</v>
      </c>
      <c r="D715" s="276">
        <v>12</v>
      </c>
      <c r="E715" s="275">
        <v>58378452</v>
      </c>
      <c r="F715" s="275"/>
      <c r="G715" s="105" t="s">
        <v>1956</v>
      </c>
      <c r="H715" s="276">
        <v>12</v>
      </c>
      <c r="I715" s="275">
        <v>70024950</v>
      </c>
      <c r="J715" s="106"/>
      <c r="K715" s="107"/>
      <c r="L715" s="149"/>
    </row>
    <row r="716" spans="1:12" x14ac:dyDescent="0.25">
      <c r="A716" s="476"/>
      <c r="B716" s="275" t="s">
        <v>504</v>
      </c>
      <c r="C716" s="276" t="s">
        <v>1964</v>
      </c>
      <c r="D716" s="276">
        <v>12</v>
      </c>
      <c r="E716" s="275">
        <v>58379513</v>
      </c>
      <c r="F716" s="275"/>
      <c r="G716" s="105" t="s">
        <v>1956</v>
      </c>
      <c r="H716" s="276">
        <v>12</v>
      </c>
      <c r="I716" s="275">
        <v>70204572</v>
      </c>
      <c r="J716" s="106"/>
      <c r="K716" s="107"/>
      <c r="L716" s="149"/>
    </row>
    <row r="717" spans="1:12" x14ac:dyDescent="0.25">
      <c r="A717" s="476"/>
      <c r="B717" s="275" t="s">
        <v>504</v>
      </c>
      <c r="C717" s="276" t="s">
        <v>1964</v>
      </c>
      <c r="D717" s="276">
        <v>12</v>
      </c>
      <c r="E717" s="275">
        <v>58380245</v>
      </c>
      <c r="F717" s="275"/>
      <c r="G717" s="105" t="s">
        <v>1956</v>
      </c>
      <c r="H717" s="276">
        <v>12</v>
      </c>
      <c r="I717" s="275">
        <v>59035303</v>
      </c>
      <c r="J717" s="106"/>
      <c r="K717" s="107"/>
      <c r="L717" s="149"/>
    </row>
    <row r="718" spans="1:12" x14ac:dyDescent="0.25">
      <c r="A718" s="476"/>
      <c r="B718" s="275" t="s">
        <v>504</v>
      </c>
      <c r="C718" s="276" t="s">
        <v>1964</v>
      </c>
      <c r="D718" s="276">
        <v>12</v>
      </c>
      <c r="E718" s="275">
        <v>58381515</v>
      </c>
      <c r="F718" s="275"/>
      <c r="G718" s="105" t="s">
        <v>1956</v>
      </c>
      <c r="H718" s="276">
        <v>12</v>
      </c>
      <c r="I718" s="275">
        <v>59088099</v>
      </c>
      <c r="J718" s="106"/>
      <c r="K718" s="107"/>
      <c r="L718" s="149"/>
    </row>
    <row r="719" spans="1:12" x14ac:dyDescent="0.25">
      <c r="A719" s="476"/>
      <c r="B719" s="275" t="s">
        <v>504</v>
      </c>
      <c r="C719" s="276" t="s">
        <v>1960</v>
      </c>
      <c r="D719" s="276">
        <v>12</v>
      </c>
      <c r="E719" s="275">
        <v>58384715</v>
      </c>
      <c r="F719" s="275"/>
      <c r="G719" s="105" t="s">
        <v>1956</v>
      </c>
      <c r="H719" s="276">
        <v>12</v>
      </c>
      <c r="I719" s="275">
        <v>128335783</v>
      </c>
      <c r="J719" s="106"/>
      <c r="K719" s="107"/>
      <c r="L719" s="149"/>
    </row>
    <row r="720" spans="1:12" x14ac:dyDescent="0.25">
      <c r="A720" s="476"/>
      <c r="B720" s="275" t="s">
        <v>504</v>
      </c>
      <c r="C720" s="276" t="s">
        <v>1954</v>
      </c>
      <c r="D720" s="276">
        <v>12</v>
      </c>
      <c r="E720" s="275">
        <v>58393745</v>
      </c>
      <c r="F720" s="275"/>
      <c r="G720" s="105" t="s">
        <v>1956</v>
      </c>
      <c r="H720" s="276">
        <v>12</v>
      </c>
      <c r="I720" s="275">
        <v>69847585</v>
      </c>
      <c r="J720" s="106"/>
      <c r="K720" s="107"/>
      <c r="L720" s="149"/>
    </row>
    <row r="721" spans="1:12" x14ac:dyDescent="0.25">
      <c r="A721" s="476"/>
      <c r="B721" s="275" t="s">
        <v>504</v>
      </c>
      <c r="C721" s="276" t="s">
        <v>1954</v>
      </c>
      <c r="D721" s="276">
        <v>12</v>
      </c>
      <c r="E721" s="275">
        <v>58397372</v>
      </c>
      <c r="F721" s="275"/>
      <c r="G721" s="105" t="s">
        <v>1956</v>
      </c>
      <c r="H721" s="276">
        <v>12</v>
      </c>
      <c r="I721" s="275">
        <v>69220492</v>
      </c>
      <c r="J721" s="106"/>
      <c r="K721" s="107"/>
      <c r="L721" s="149"/>
    </row>
    <row r="722" spans="1:12" x14ac:dyDescent="0.25">
      <c r="A722" s="476"/>
      <c r="B722" s="275" t="s">
        <v>504</v>
      </c>
      <c r="C722" s="276" t="s">
        <v>1960</v>
      </c>
      <c r="D722" s="276">
        <v>12</v>
      </c>
      <c r="E722" s="275">
        <v>58403186</v>
      </c>
      <c r="F722" s="275"/>
      <c r="G722" s="105" t="s">
        <v>1956</v>
      </c>
      <c r="H722" s="276">
        <v>12</v>
      </c>
      <c r="I722" s="275">
        <v>58872227</v>
      </c>
      <c r="J722" s="106"/>
      <c r="K722" s="107"/>
      <c r="L722" s="149"/>
    </row>
    <row r="723" spans="1:12" x14ac:dyDescent="0.25">
      <c r="A723" s="476"/>
      <c r="B723" s="275" t="s">
        <v>504</v>
      </c>
      <c r="C723" s="276" t="s">
        <v>1960</v>
      </c>
      <c r="D723" s="276">
        <v>12</v>
      </c>
      <c r="E723" s="275">
        <v>58414435</v>
      </c>
      <c r="F723" s="275"/>
      <c r="G723" s="105" t="s">
        <v>1956</v>
      </c>
      <c r="H723" s="276">
        <v>12</v>
      </c>
      <c r="I723" s="275">
        <v>59115598</v>
      </c>
      <c r="J723" s="106"/>
      <c r="K723" s="107"/>
      <c r="L723" s="149"/>
    </row>
    <row r="724" spans="1:12" x14ac:dyDescent="0.25">
      <c r="A724" s="476"/>
      <c r="B724" s="275" t="s">
        <v>504</v>
      </c>
      <c r="C724" s="276" t="s">
        <v>1954</v>
      </c>
      <c r="D724" s="276">
        <v>12</v>
      </c>
      <c r="E724" s="275">
        <v>58425768</v>
      </c>
      <c r="F724" s="275"/>
      <c r="G724" s="105" t="s">
        <v>1956</v>
      </c>
      <c r="H724" s="276">
        <v>12</v>
      </c>
      <c r="I724" s="275">
        <v>70387243</v>
      </c>
      <c r="J724" s="106"/>
      <c r="K724" s="107"/>
      <c r="L724" s="149"/>
    </row>
    <row r="725" spans="1:12" x14ac:dyDescent="0.25">
      <c r="A725" s="476"/>
      <c r="B725" s="275" t="s">
        <v>504</v>
      </c>
      <c r="C725" s="276" t="s">
        <v>1960</v>
      </c>
      <c r="D725" s="276">
        <v>12</v>
      </c>
      <c r="E725" s="275">
        <v>58426015</v>
      </c>
      <c r="F725" s="275"/>
      <c r="G725" s="105" t="s">
        <v>1956</v>
      </c>
      <c r="H725" s="276">
        <v>12</v>
      </c>
      <c r="I725" s="275">
        <v>69272198</v>
      </c>
      <c r="J725" s="106"/>
      <c r="K725" s="107"/>
      <c r="L725" s="149"/>
    </row>
    <row r="726" spans="1:12" x14ac:dyDescent="0.25">
      <c r="A726" s="476"/>
      <c r="B726" s="275" t="s">
        <v>504</v>
      </c>
      <c r="C726" s="276" t="s">
        <v>1954</v>
      </c>
      <c r="D726" s="276">
        <v>12</v>
      </c>
      <c r="E726" s="275">
        <v>58426776</v>
      </c>
      <c r="F726" s="275"/>
      <c r="G726" s="105" t="s">
        <v>1956</v>
      </c>
      <c r="H726" s="276">
        <v>12</v>
      </c>
      <c r="I726" s="275">
        <v>71042698</v>
      </c>
      <c r="J726" s="106"/>
      <c r="K726" s="107"/>
      <c r="L726" s="149"/>
    </row>
    <row r="727" spans="1:12" x14ac:dyDescent="0.25">
      <c r="A727" s="476"/>
      <c r="B727" s="275" t="s">
        <v>504</v>
      </c>
      <c r="C727" s="276" t="s">
        <v>1960</v>
      </c>
      <c r="D727" s="276">
        <v>12</v>
      </c>
      <c r="E727" s="275">
        <v>58427551</v>
      </c>
      <c r="F727" s="275"/>
      <c r="G727" s="105" t="s">
        <v>1956</v>
      </c>
      <c r="H727" s="276">
        <v>12</v>
      </c>
      <c r="I727" s="275">
        <v>69185443</v>
      </c>
      <c r="J727" s="106"/>
      <c r="K727" s="107"/>
      <c r="L727" s="149"/>
    </row>
    <row r="728" spans="1:12" x14ac:dyDescent="0.25">
      <c r="A728" s="476"/>
      <c r="B728" s="275" t="s">
        <v>504</v>
      </c>
      <c r="C728" s="276" t="s">
        <v>1964</v>
      </c>
      <c r="D728" s="276">
        <v>12</v>
      </c>
      <c r="E728" s="275">
        <v>58429773</v>
      </c>
      <c r="F728" s="275"/>
      <c r="G728" s="105" t="s">
        <v>1956</v>
      </c>
      <c r="H728" s="276">
        <v>12</v>
      </c>
      <c r="I728" s="275">
        <v>71177313</v>
      </c>
      <c r="J728" s="106"/>
      <c r="K728" s="107"/>
      <c r="L728" s="149"/>
    </row>
    <row r="729" spans="1:12" x14ac:dyDescent="0.25">
      <c r="A729" s="476"/>
      <c r="B729" s="275" t="s">
        <v>504</v>
      </c>
      <c r="C729" s="276" t="s">
        <v>1954</v>
      </c>
      <c r="D729" s="276">
        <v>12</v>
      </c>
      <c r="E729" s="275">
        <v>58429858</v>
      </c>
      <c r="F729" s="275"/>
      <c r="G729" s="105" t="s">
        <v>1956</v>
      </c>
      <c r="H729" s="276">
        <v>12</v>
      </c>
      <c r="I729" s="275">
        <v>58960538</v>
      </c>
      <c r="J729" s="106"/>
      <c r="K729" s="107"/>
      <c r="L729" s="149"/>
    </row>
    <row r="730" spans="1:12" x14ac:dyDescent="0.25">
      <c r="A730" s="476"/>
      <c r="B730" s="275" t="s">
        <v>504</v>
      </c>
      <c r="C730" s="276" t="s">
        <v>1964</v>
      </c>
      <c r="D730" s="276">
        <v>12</v>
      </c>
      <c r="E730" s="275">
        <v>58438061</v>
      </c>
      <c r="F730" s="275"/>
      <c r="G730" s="105" t="s">
        <v>1956</v>
      </c>
      <c r="H730" s="276">
        <v>12</v>
      </c>
      <c r="I730" s="275">
        <v>59052824</v>
      </c>
      <c r="J730" s="106"/>
      <c r="K730" s="107"/>
      <c r="L730" s="149"/>
    </row>
    <row r="731" spans="1:12" x14ac:dyDescent="0.25">
      <c r="A731" s="476"/>
      <c r="B731" s="275" t="s">
        <v>504</v>
      </c>
      <c r="C731" s="276" t="s">
        <v>1964</v>
      </c>
      <c r="D731" s="276">
        <v>12</v>
      </c>
      <c r="E731" s="275">
        <v>58438422</v>
      </c>
      <c r="F731" s="275"/>
      <c r="G731" s="105" t="s">
        <v>1956</v>
      </c>
      <c r="H731" s="276">
        <v>12</v>
      </c>
      <c r="I731" s="275">
        <v>68872304</v>
      </c>
      <c r="J731" s="106"/>
      <c r="K731" s="107"/>
      <c r="L731" s="149"/>
    </row>
    <row r="732" spans="1:12" x14ac:dyDescent="0.25">
      <c r="A732" s="476"/>
      <c r="B732" s="275" t="s">
        <v>504</v>
      </c>
      <c r="C732" s="276" t="s">
        <v>1954</v>
      </c>
      <c r="D732" s="276">
        <v>12</v>
      </c>
      <c r="E732" s="275">
        <v>58444239</v>
      </c>
      <c r="F732" s="275"/>
      <c r="G732" s="105" t="s">
        <v>1956</v>
      </c>
      <c r="H732" s="276">
        <v>12</v>
      </c>
      <c r="I732" s="275">
        <v>70310259</v>
      </c>
      <c r="J732" s="106"/>
      <c r="K732" s="107"/>
      <c r="L732" s="149"/>
    </row>
    <row r="733" spans="1:12" x14ac:dyDescent="0.25">
      <c r="A733" s="476"/>
      <c r="B733" s="275" t="s">
        <v>504</v>
      </c>
      <c r="C733" s="276" t="s">
        <v>1960</v>
      </c>
      <c r="D733" s="276">
        <v>12</v>
      </c>
      <c r="E733" s="275">
        <v>58461305</v>
      </c>
      <c r="F733" s="275"/>
      <c r="G733" s="105" t="s">
        <v>1956</v>
      </c>
      <c r="H733" s="276">
        <v>12</v>
      </c>
      <c r="I733" s="275">
        <v>69245155</v>
      </c>
      <c r="J733" s="106"/>
      <c r="K733" s="107"/>
      <c r="L733" s="149"/>
    </row>
    <row r="734" spans="1:12" x14ac:dyDescent="0.25">
      <c r="A734" s="476"/>
      <c r="B734" s="275" t="s">
        <v>504</v>
      </c>
      <c r="C734" s="276" t="s">
        <v>1964</v>
      </c>
      <c r="D734" s="276">
        <v>12</v>
      </c>
      <c r="E734" s="275">
        <v>58462953</v>
      </c>
      <c r="F734" s="275"/>
      <c r="G734" s="105" t="s">
        <v>1956</v>
      </c>
      <c r="H734" s="276">
        <v>12</v>
      </c>
      <c r="I734" s="275">
        <v>69436887</v>
      </c>
      <c r="J734" s="106"/>
      <c r="K734" s="107"/>
      <c r="L734" s="149"/>
    </row>
    <row r="735" spans="1:12" x14ac:dyDescent="0.25">
      <c r="A735" s="476"/>
      <c r="B735" s="275" t="s">
        <v>504</v>
      </c>
      <c r="C735" s="276" t="s">
        <v>1964</v>
      </c>
      <c r="D735" s="276">
        <v>12</v>
      </c>
      <c r="E735" s="275">
        <v>58465051</v>
      </c>
      <c r="F735" s="275"/>
      <c r="G735" s="105" t="s">
        <v>1956</v>
      </c>
      <c r="H735" s="276">
        <v>12</v>
      </c>
      <c r="I735" s="275">
        <v>128517643</v>
      </c>
      <c r="J735" s="106"/>
      <c r="K735" s="107"/>
      <c r="L735" s="149"/>
    </row>
    <row r="736" spans="1:12" x14ac:dyDescent="0.25">
      <c r="A736" s="476"/>
      <c r="B736" s="275" t="s">
        <v>504</v>
      </c>
      <c r="C736" s="276" t="s">
        <v>1954</v>
      </c>
      <c r="D736" s="276">
        <v>12</v>
      </c>
      <c r="E736" s="275">
        <v>58465649</v>
      </c>
      <c r="F736" s="275"/>
      <c r="G736" s="105" t="s">
        <v>1956</v>
      </c>
      <c r="H736" s="276">
        <v>12</v>
      </c>
      <c r="I736" s="275">
        <v>69539491</v>
      </c>
      <c r="J736" s="106"/>
      <c r="K736" s="107"/>
      <c r="L736" s="149"/>
    </row>
    <row r="737" spans="1:12" x14ac:dyDescent="0.25">
      <c r="A737" s="476"/>
      <c r="B737" s="275" t="s">
        <v>504</v>
      </c>
      <c r="C737" s="276" t="s">
        <v>1964</v>
      </c>
      <c r="D737" s="276">
        <v>12</v>
      </c>
      <c r="E737" s="275">
        <v>58466310</v>
      </c>
      <c r="F737" s="275"/>
      <c r="G737" s="105" t="s">
        <v>1956</v>
      </c>
      <c r="H737" s="276">
        <v>12</v>
      </c>
      <c r="I737" s="275">
        <v>59080183</v>
      </c>
      <c r="J737" s="106"/>
      <c r="K737" s="107"/>
      <c r="L737" s="149"/>
    </row>
    <row r="738" spans="1:12" x14ac:dyDescent="0.25">
      <c r="A738" s="476"/>
      <c r="B738" s="275" t="s">
        <v>504</v>
      </c>
      <c r="C738" s="276" t="s">
        <v>1954</v>
      </c>
      <c r="D738" s="276">
        <v>12</v>
      </c>
      <c r="E738" s="275">
        <v>58505986</v>
      </c>
      <c r="F738" s="275"/>
      <c r="G738" s="105" t="s">
        <v>1956</v>
      </c>
      <c r="H738" s="276">
        <v>12</v>
      </c>
      <c r="I738" s="275">
        <v>69145436</v>
      </c>
      <c r="J738" s="106"/>
      <c r="K738" s="107"/>
      <c r="L738" s="149"/>
    </row>
    <row r="739" spans="1:12" x14ac:dyDescent="0.25">
      <c r="A739" s="476"/>
      <c r="B739" s="275" t="s">
        <v>504</v>
      </c>
      <c r="C739" s="276" t="s">
        <v>1960</v>
      </c>
      <c r="D739" s="276">
        <v>12</v>
      </c>
      <c r="E739" s="275">
        <v>58512268</v>
      </c>
      <c r="F739" s="275"/>
      <c r="G739" s="105" t="s">
        <v>1956</v>
      </c>
      <c r="H739" s="276">
        <v>12</v>
      </c>
      <c r="I739" s="275">
        <v>128080935</v>
      </c>
      <c r="J739" s="106"/>
      <c r="K739" s="107"/>
      <c r="L739" s="149"/>
    </row>
    <row r="740" spans="1:12" x14ac:dyDescent="0.25">
      <c r="A740" s="476"/>
      <c r="B740" s="275" t="s">
        <v>504</v>
      </c>
      <c r="C740" s="276" t="s">
        <v>1954</v>
      </c>
      <c r="D740" s="276">
        <v>12</v>
      </c>
      <c r="E740" s="275">
        <v>58512814</v>
      </c>
      <c r="F740" s="275"/>
      <c r="G740" s="105" t="s">
        <v>1956</v>
      </c>
      <c r="H740" s="276">
        <v>12</v>
      </c>
      <c r="I740" s="275">
        <v>71054997</v>
      </c>
      <c r="J740" s="106"/>
      <c r="K740" s="107"/>
      <c r="L740" s="149"/>
    </row>
    <row r="741" spans="1:12" x14ac:dyDescent="0.25">
      <c r="A741" s="476"/>
      <c r="B741" s="275" t="s">
        <v>504</v>
      </c>
      <c r="C741" s="276" t="s">
        <v>1954</v>
      </c>
      <c r="D741" s="276">
        <v>12</v>
      </c>
      <c r="E741" s="275">
        <v>58516151</v>
      </c>
      <c r="F741" s="275"/>
      <c r="G741" s="105" t="s">
        <v>1956</v>
      </c>
      <c r="H741" s="276">
        <v>12</v>
      </c>
      <c r="I741" s="275">
        <v>69779349</v>
      </c>
      <c r="J741" s="106"/>
      <c r="K741" s="107"/>
      <c r="L741" s="149"/>
    </row>
    <row r="742" spans="1:12" x14ac:dyDescent="0.25">
      <c r="A742" s="476"/>
      <c r="B742" s="275" t="s">
        <v>504</v>
      </c>
      <c r="C742" s="276" t="s">
        <v>1964</v>
      </c>
      <c r="D742" s="276">
        <v>12</v>
      </c>
      <c r="E742" s="275">
        <v>58517699</v>
      </c>
      <c r="F742" s="275"/>
      <c r="G742" s="105" t="s">
        <v>1956</v>
      </c>
      <c r="H742" s="276">
        <v>12</v>
      </c>
      <c r="I742" s="275">
        <v>59174564</v>
      </c>
      <c r="J742" s="106"/>
      <c r="K742" s="107"/>
      <c r="L742" s="149"/>
    </row>
    <row r="743" spans="1:12" x14ac:dyDescent="0.25">
      <c r="A743" s="476"/>
      <c r="B743" s="275" t="s">
        <v>504</v>
      </c>
      <c r="C743" s="276" t="s">
        <v>1960</v>
      </c>
      <c r="D743" s="276">
        <v>12</v>
      </c>
      <c r="E743" s="275">
        <v>58518362</v>
      </c>
      <c r="F743" s="275"/>
      <c r="G743" s="105" t="s">
        <v>1956</v>
      </c>
      <c r="H743" s="276">
        <v>12</v>
      </c>
      <c r="I743" s="275">
        <v>58955718</v>
      </c>
      <c r="J743" s="106"/>
      <c r="K743" s="107"/>
      <c r="L743" s="149"/>
    </row>
    <row r="744" spans="1:12" x14ac:dyDescent="0.25">
      <c r="A744" s="476"/>
      <c r="B744" s="275" t="s">
        <v>504</v>
      </c>
      <c r="C744" s="276" t="s">
        <v>1960</v>
      </c>
      <c r="D744" s="276">
        <v>12</v>
      </c>
      <c r="E744" s="275">
        <v>58520363</v>
      </c>
      <c r="F744" s="275"/>
      <c r="G744" s="105" t="s">
        <v>1956</v>
      </c>
      <c r="H744" s="276">
        <v>12</v>
      </c>
      <c r="I744" s="275">
        <v>69092079</v>
      </c>
      <c r="J744" s="106"/>
      <c r="K744" s="107"/>
      <c r="L744" s="149"/>
    </row>
    <row r="745" spans="1:12" x14ac:dyDescent="0.25">
      <c r="A745" s="476"/>
      <c r="B745" s="275" t="s">
        <v>504</v>
      </c>
      <c r="C745" s="276" t="s">
        <v>1954</v>
      </c>
      <c r="D745" s="276">
        <v>12</v>
      </c>
      <c r="E745" s="275">
        <v>58526998</v>
      </c>
      <c r="F745" s="275"/>
      <c r="G745" s="105" t="s">
        <v>1956</v>
      </c>
      <c r="H745" s="276">
        <v>12</v>
      </c>
      <c r="I745" s="275">
        <v>58755059</v>
      </c>
      <c r="J745" s="106"/>
      <c r="K745" s="107"/>
      <c r="L745" s="149"/>
    </row>
    <row r="746" spans="1:12" x14ac:dyDescent="0.25">
      <c r="A746" s="476"/>
      <c r="B746" s="275" t="s">
        <v>504</v>
      </c>
      <c r="C746" s="276" t="s">
        <v>1964</v>
      </c>
      <c r="D746" s="276">
        <v>12</v>
      </c>
      <c r="E746" s="275">
        <v>58528628</v>
      </c>
      <c r="F746" s="275"/>
      <c r="G746" s="105" t="s">
        <v>1956</v>
      </c>
      <c r="H746" s="276">
        <v>12</v>
      </c>
      <c r="I746" s="275">
        <v>69111149</v>
      </c>
      <c r="J746" s="106"/>
      <c r="K746" s="107"/>
      <c r="L746" s="149"/>
    </row>
    <row r="747" spans="1:12" x14ac:dyDescent="0.25">
      <c r="A747" s="476"/>
      <c r="B747" s="275" t="s">
        <v>504</v>
      </c>
      <c r="C747" s="276" t="s">
        <v>1964</v>
      </c>
      <c r="D747" s="276">
        <v>12</v>
      </c>
      <c r="E747" s="275">
        <v>58531152</v>
      </c>
      <c r="F747" s="275"/>
      <c r="G747" s="105" t="s">
        <v>1956</v>
      </c>
      <c r="H747" s="276">
        <v>12</v>
      </c>
      <c r="I747" s="275">
        <v>69649925</v>
      </c>
      <c r="J747" s="106"/>
      <c r="K747" s="107"/>
      <c r="L747" s="149"/>
    </row>
    <row r="748" spans="1:12" x14ac:dyDescent="0.25">
      <c r="A748" s="476"/>
      <c r="B748" s="275" t="s">
        <v>504</v>
      </c>
      <c r="C748" s="276" t="s">
        <v>1964</v>
      </c>
      <c r="D748" s="276">
        <v>12</v>
      </c>
      <c r="E748" s="275">
        <v>58534625</v>
      </c>
      <c r="F748" s="275"/>
      <c r="G748" s="105" t="s">
        <v>1956</v>
      </c>
      <c r="H748" s="276">
        <v>12</v>
      </c>
      <c r="I748" s="275">
        <v>69143289</v>
      </c>
      <c r="J748" s="106"/>
      <c r="K748" s="107"/>
      <c r="L748" s="149"/>
    </row>
    <row r="749" spans="1:12" x14ac:dyDescent="0.25">
      <c r="A749" s="476"/>
      <c r="B749" s="275" t="s">
        <v>504</v>
      </c>
      <c r="C749" s="276" t="s">
        <v>1964</v>
      </c>
      <c r="D749" s="276">
        <v>12</v>
      </c>
      <c r="E749" s="275">
        <v>58535219</v>
      </c>
      <c r="F749" s="275"/>
      <c r="G749" s="105" t="s">
        <v>1956</v>
      </c>
      <c r="H749" s="276">
        <v>12</v>
      </c>
      <c r="I749" s="275">
        <v>128154932</v>
      </c>
      <c r="J749" s="106"/>
      <c r="K749" s="107"/>
      <c r="L749" s="149"/>
    </row>
    <row r="750" spans="1:12" x14ac:dyDescent="0.25">
      <c r="A750" s="476"/>
      <c r="B750" s="275" t="s">
        <v>504</v>
      </c>
      <c r="C750" s="276" t="s">
        <v>1960</v>
      </c>
      <c r="D750" s="276">
        <v>12</v>
      </c>
      <c r="E750" s="275">
        <v>58536107</v>
      </c>
      <c r="F750" s="275"/>
      <c r="G750" s="105" t="s">
        <v>1956</v>
      </c>
      <c r="H750" s="276">
        <v>12</v>
      </c>
      <c r="I750" s="275">
        <v>128546790</v>
      </c>
      <c r="J750" s="106"/>
      <c r="K750" s="107"/>
      <c r="L750" s="149"/>
    </row>
    <row r="751" spans="1:12" x14ac:dyDescent="0.25">
      <c r="A751" s="476"/>
      <c r="B751" s="275" t="s">
        <v>504</v>
      </c>
      <c r="C751" s="276" t="s">
        <v>1964</v>
      </c>
      <c r="D751" s="276">
        <v>12</v>
      </c>
      <c r="E751" s="275">
        <v>58536890</v>
      </c>
      <c r="F751" s="275"/>
      <c r="G751" s="105" t="s">
        <v>1956</v>
      </c>
      <c r="H751" s="276">
        <v>12</v>
      </c>
      <c r="I751" s="275">
        <v>69867308</v>
      </c>
      <c r="J751" s="106"/>
      <c r="K751" s="107"/>
      <c r="L751" s="149"/>
    </row>
    <row r="752" spans="1:12" x14ac:dyDescent="0.25">
      <c r="A752" s="476"/>
      <c r="B752" s="275" t="s">
        <v>504</v>
      </c>
      <c r="C752" s="276" t="s">
        <v>1964</v>
      </c>
      <c r="D752" s="276">
        <v>12</v>
      </c>
      <c r="E752" s="275">
        <v>58537268</v>
      </c>
      <c r="F752" s="275"/>
      <c r="G752" s="105" t="s">
        <v>1956</v>
      </c>
      <c r="H752" s="276">
        <v>12</v>
      </c>
      <c r="I752" s="275">
        <v>59201606</v>
      </c>
      <c r="J752" s="106"/>
      <c r="K752" s="107"/>
      <c r="L752" s="149"/>
    </row>
    <row r="753" spans="1:12" x14ac:dyDescent="0.25">
      <c r="A753" s="476"/>
      <c r="B753" s="275" t="s">
        <v>504</v>
      </c>
      <c r="C753" s="276" t="s">
        <v>1954</v>
      </c>
      <c r="D753" s="276">
        <v>12</v>
      </c>
      <c r="E753" s="275">
        <v>58544884</v>
      </c>
      <c r="F753" s="275"/>
      <c r="G753" s="105" t="s">
        <v>1956</v>
      </c>
      <c r="H753" s="276">
        <v>12</v>
      </c>
      <c r="I753" s="275">
        <v>69368517</v>
      </c>
      <c r="J753" s="106"/>
      <c r="K753" s="107"/>
      <c r="L753" s="149"/>
    </row>
    <row r="754" spans="1:12" x14ac:dyDescent="0.25">
      <c r="A754" s="476"/>
      <c r="B754" s="275" t="s">
        <v>504</v>
      </c>
      <c r="C754" s="276" t="s">
        <v>1964</v>
      </c>
      <c r="D754" s="276">
        <v>12</v>
      </c>
      <c r="E754" s="275">
        <v>58546987</v>
      </c>
      <c r="F754" s="275"/>
      <c r="G754" s="105" t="s">
        <v>1956</v>
      </c>
      <c r="H754" s="276">
        <v>12</v>
      </c>
      <c r="I754" s="275">
        <v>128774169</v>
      </c>
      <c r="J754" s="106"/>
      <c r="K754" s="107"/>
      <c r="L754" s="149"/>
    </row>
    <row r="755" spans="1:12" x14ac:dyDescent="0.25">
      <c r="A755" s="476"/>
      <c r="B755" s="275" t="s">
        <v>504</v>
      </c>
      <c r="C755" s="276" t="s">
        <v>1960</v>
      </c>
      <c r="D755" s="276">
        <v>12</v>
      </c>
      <c r="E755" s="275">
        <v>58551992</v>
      </c>
      <c r="F755" s="275"/>
      <c r="G755" s="105" t="s">
        <v>1956</v>
      </c>
      <c r="H755" s="276">
        <v>12</v>
      </c>
      <c r="I755" s="275">
        <v>68766709</v>
      </c>
      <c r="J755" s="106"/>
      <c r="K755" s="107"/>
      <c r="L755" s="149"/>
    </row>
    <row r="756" spans="1:12" x14ac:dyDescent="0.25">
      <c r="A756" s="476"/>
      <c r="B756" s="275" t="s">
        <v>504</v>
      </c>
      <c r="C756" s="276" t="s">
        <v>1954</v>
      </c>
      <c r="D756" s="276">
        <v>12</v>
      </c>
      <c r="E756" s="275">
        <v>58554792</v>
      </c>
      <c r="F756" s="275"/>
      <c r="G756" s="105" t="s">
        <v>1956</v>
      </c>
      <c r="H756" s="276">
        <v>12</v>
      </c>
      <c r="I756" s="275">
        <v>128311539</v>
      </c>
      <c r="J756" s="106"/>
      <c r="K756" s="107"/>
      <c r="L756" s="149"/>
    </row>
    <row r="757" spans="1:12" x14ac:dyDescent="0.25">
      <c r="A757" s="476"/>
      <c r="B757" s="275" t="s">
        <v>504</v>
      </c>
      <c r="C757" s="276" t="s">
        <v>1964</v>
      </c>
      <c r="D757" s="276">
        <v>12</v>
      </c>
      <c r="E757" s="275">
        <v>58558413</v>
      </c>
      <c r="F757" s="275"/>
      <c r="G757" s="105" t="s">
        <v>1956</v>
      </c>
      <c r="H757" s="276">
        <v>12</v>
      </c>
      <c r="I757" s="275">
        <v>128554933</v>
      </c>
      <c r="J757" s="106"/>
      <c r="K757" s="107"/>
      <c r="L757" s="149"/>
    </row>
    <row r="758" spans="1:12" x14ac:dyDescent="0.25">
      <c r="A758" s="476"/>
      <c r="B758" s="275" t="s">
        <v>504</v>
      </c>
      <c r="C758" s="276" t="s">
        <v>1954</v>
      </c>
      <c r="D758" s="276">
        <v>12</v>
      </c>
      <c r="E758" s="275">
        <v>58575557</v>
      </c>
      <c r="F758" s="275"/>
      <c r="G758" s="105" t="s">
        <v>1956</v>
      </c>
      <c r="H758" s="276">
        <v>12</v>
      </c>
      <c r="I758" s="275">
        <v>58975892</v>
      </c>
      <c r="J758" s="106"/>
      <c r="K758" s="107"/>
      <c r="L758" s="149"/>
    </row>
    <row r="759" spans="1:12" x14ac:dyDescent="0.25">
      <c r="A759" s="476"/>
      <c r="B759" s="275" t="s">
        <v>504</v>
      </c>
      <c r="C759" s="276" t="s">
        <v>1960</v>
      </c>
      <c r="D759" s="276">
        <v>12</v>
      </c>
      <c r="E759" s="275">
        <v>58576848</v>
      </c>
      <c r="F759" s="275"/>
      <c r="G759" s="105" t="s">
        <v>1956</v>
      </c>
      <c r="H759" s="276">
        <v>12</v>
      </c>
      <c r="I759" s="275">
        <v>69629353</v>
      </c>
      <c r="J759" s="106"/>
      <c r="K759" s="107"/>
      <c r="L759" s="149"/>
    </row>
    <row r="760" spans="1:12" x14ac:dyDescent="0.25">
      <c r="A760" s="476"/>
      <c r="B760" s="275" t="s">
        <v>504</v>
      </c>
      <c r="C760" s="276" t="s">
        <v>1960</v>
      </c>
      <c r="D760" s="276">
        <v>12</v>
      </c>
      <c r="E760" s="275">
        <v>58579308</v>
      </c>
      <c r="F760" s="275"/>
      <c r="G760" s="105" t="s">
        <v>1956</v>
      </c>
      <c r="H760" s="276">
        <v>12</v>
      </c>
      <c r="I760" s="275">
        <v>71116443</v>
      </c>
      <c r="J760" s="106"/>
      <c r="K760" s="107"/>
      <c r="L760" s="149"/>
    </row>
    <row r="761" spans="1:12" x14ac:dyDescent="0.25">
      <c r="A761" s="476"/>
      <c r="B761" s="275" t="s">
        <v>504</v>
      </c>
      <c r="C761" s="276" t="s">
        <v>1964</v>
      </c>
      <c r="D761" s="276">
        <v>12</v>
      </c>
      <c r="E761" s="275">
        <v>58582054</v>
      </c>
      <c r="F761" s="275"/>
      <c r="G761" s="105" t="s">
        <v>1956</v>
      </c>
      <c r="H761" s="276">
        <v>12</v>
      </c>
      <c r="I761" s="275">
        <v>69094195</v>
      </c>
      <c r="J761" s="106"/>
      <c r="K761" s="107"/>
      <c r="L761" s="149"/>
    </row>
    <row r="762" spans="1:12" x14ac:dyDescent="0.25">
      <c r="A762" s="476"/>
      <c r="B762" s="275" t="s">
        <v>504</v>
      </c>
      <c r="C762" s="276" t="s">
        <v>1964</v>
      </c>
      <c r="D762" s="276">
        <v>12</v>
      </c>
      <c r="E762" s="275">
        <v>58607196</v>
      </c>
      <c r="F762" s="275"/>
      <c r="G762" s="105" t="s">
        <v>1956</v>
      </c>
      <c r="H762" s="276">
        <v>12</v>
      </c>
      <c r="I762" s="275">
        <v>128106109</v>
      </c>
      <c r="J762" s="106"/>
      <c r="K762" s="107"/>
      <c r="L762" s="149"/>
    </row>
    <row r="763" spans="1:12" x14ac:dyDescent="0.25">
      <c r="A763" s="476"/>
      <c r="B763" s="275" t="s">
        <v>504</v>
      </c>
      <c r="C763" s="276" t="s">
        <v>1964</v>
      </c>
      <c r="D763" s="276">
        <v>12</v>
      </c>
      <c r="E763" s="275">
        <v>58613580</v>
      </c>
      <c r="F763" s="275"/>
      <c r="G763" s="105" t="s">
        <v>1956</v>
      </c>
      <c r="H763" s="276">
        <v>12</v>
      </c>
      <c r="I763" s="275">
        <v>69813922</v>
      </c>
      <c r="J763" s="106"/>
      <c r="K763" s="107"/>
      <c r="L763" s="149"/>
    </row>
    <row r="764" spans="1:12" x14ac:dyDescent="0.25">
      <c r="A764" s="476"/>
      <c r="B764" s="275" t="s">
        <v>504</v>
      </c>
      <c r="C764" s="276" t="s">
        <v>1954</v>
      </c>
      <c r="D764" s="276">
        <v>12</v>
      </c>
      <c r="E764" s="275">
        <v>58614352</v>
      </c>
      <c r="F764" s="275"/>
      <c r="G764" s="105" t="s">
        <v>1956</v>
      </c>
      <c r="H764" s="276">
        <v>12</v>
      </c>
      <c r="I764" s="275">
        <v>128101685</v>
      </c>
      <c r="J764" s="106"/>
      <c r="K764" s="107"/>
      <c r="L764" s="149"/>
    </row>
    <row r="765" spans="1:12" x14ac:dyDescent="0.25">
      <c r="A765" s="476"/>
      <c r="B765" s="275" t="s">
        <v>504</v>
      </c>
      <c r="C765" s="276" t="s">
        <v>1960</v>
      </c>
      <c r="D765" s="276">
        <v>12</v>
      </c>
      <c r="E765" s="275">
        <v>58616554</v>
      </c>
      <c r="F765" s="275"/>
      <c r="G765" s="105" t="s">
        <v>1956</v>
      </c>
      <c r="H765" s="276">
        <v>12</v>
      </c>
      <c r="I765" s="275">
        <v>58938200</v>
      </c>
      <c r="J765" s="106"/>
      <c r="K765" s="107"/>
      <c r="L765" s="149"/>
    </row>
    <row r="766" spans="1:12" x14ac:dyDescent="0.25">
      <c r="A766" s="476"/>
      <c r="B766" s="275" t="s">
        <v>504</v>
      </c>
      <c r="C766" s="276" t="s">
        <v>1964</v>
      </c>
      <c r="D766" s="276">
        <v>12</v>
      </c>
      <c r="E766" s="275">
        <v>58626531</v>
      </c>
      <c r="F766" s="275"/>
      <c r="G766" s="105" t="s">
        <v>1956</v>
      </c>
      <c r="H766" s="276">
        <v>12</v>
      </c>
      <c r="I766" s="275">
        <v>59143117</v>
      </c>
      <c r="J766" s="106"/>
      <c r="K766" s="107"/>
      <c r="L766" s="149"/>
    </row>
    <row r="767" spans="1:12" x14ac:dyDescent="0.25">
      <c r="A767" s="476"/>
      <c r="B767" s="275" t="s">
        <v>504</v>
      </c>
      <c r="C767" s="276" t="s">
        <v>1954</v>
      </c>
      <c r="D767" s="276">
        <v>12</v>
      </c>
      <c r="E767" s="275">
        <v>58629819</v>
      </c>
      <c r="F767" s="275"/>
      <c r="G767" s="105" t="s">
        <v>1956</v>
      </c>
      <c r="H767" s="276">
        <v>12</v>
      </c>
      <c r="I767" s="275">
        <v>69918213</v>
      </c>
      <c r="J767" s="106"/>
      <c r="K767" s="107"/>
      <c r="L767" s="149"/>
    </row>
    <row r="768" spans="1:12" x14ac:dyDescent="0.25">
      <c r="A768" s="476"/>
      <c r="B768" s="275" t="s">
        <v>504</v>
      </c>
      <c r="C768" s="276" t="s">
        <v>1964</v>
      </c>
      <c r="D768" s="276">
        <v>12</v>
      </c>
      <c r="E768" s="275">
        <v>58629987</v>
      </c>
      <c r="F768" s="275"/>
      <c r="G768" s="105" t="s">
        <v>1956</v>
      </c>
      <c r="H768" s="276">
        <v>12</v>
      </c>
      <c r="I768" s="275">
        <v>128570725</v>
      </c>
      <c r="J768" s="106"/>
      <c r="K768" s="107"/>
      <c r="L768" s="149"/>
    </row>
    <row r="769" spans="1:12" x14ac:dyDescent="0.25">
      <c r="A769" s="476"/>
      <c r="B769" s="275" t="s">
        <v>504</v>
      </c>
      <c r="C769" s="276" t="s">
        <v>1960</v>
      </c>
      <c r="D769" s="276">
        <v>12</v>
      </c>
      <c r="E769" s="275">
        <v>58630091</v>
      </c>
      <c r="F769" s="275"/>
      <c r="G769" s="105" t="s">
        <v>1956</v>
      </c>
      <c r="H769" s="276">
        <v>12</v>
      </c>
      <c r="I769" s="275">
        <v>69064492</v>
      </c>
      <c r="J769" s="106"/>
      <c r="K769" s="107"/>
      <c r="L769" s="149"/>
    </row>
    <row r="770" spans="1:12" x14ac:dyDescent="0.25">
      <c r="A770" s="476"/>
      <c r="B770" s="275" t="s">
        <v>504</v>
      </c>
      <c r="C770" s="276" t="s">
        <v>1964</v>
      </c>
      <c r="D770" s="276">
        <v>12</v>
      </c>
      <c r="E770" s="275">
        <v>58635534</v>
      </c>
      <c r="F770" s="275"/>
      <c r="G770" s="105" t="s">
        <v>1956</v>
      </c>
      <c r="H770" s="276">
        <v>12</v>
      </c>
      <c r="I770" s="275">
        <v>128076672</v>
      </c>
      <c r="J770" s="106"/>
      <c r="K770" s="107"/>
      <c r="L770" s="149"/>
    </row>
    <row r="771" spans="1:12" x14ac:dyDescent="0.25">
      <c r="A771" s="476"/>
      <c r="B771" s="275" t="s">
        <v>504</v>
      </c>
      <c r="C771" s="276" t="s">
        <v>1964</v>
      </c>
      <c r="D771" s="276">
        <v>12</v>
      </c>
      <c r="E771" s="275">
        <v>58639077</v>
      </c>
      <c r="F771" s="275"/>
      <c r="G771" s="105" t="s">
        <v>1956</v>
      </c>
      <c r="H771" s="276">
        <v>12</v>
      </c>
      <c r="I771" s="275">
        <v>128256733</v>
      </c>
      <c r="J771" s="106"/>
      <c r="K771" s="107"/>
      <c r="L771" s="149"/>
    </row>
    <row r="772" spans="1:12" x14ac:dyDescent="0.25">
      <c r="A772" s="476"/>
      <c r="B772" s="275" t="s">
        <v>504</v>
      </c>
      <c r="C772" s="276" t="s">
        <v>1960</v>
      </c>
      <c r="D772" s="276">
        <v>12</v>
      </c>
      <c r="E772" s="275">
        <v>58639649</v>
      </c>
      <c r="F772" s="275"/>
      <c r="G772" s="105" t="s">
        <v>1956</v>
      </c>
      <c r="H772" s="276">
        <v>12</v>
      </c>
      <c r="I772" s="275">
        <v>59132822</v>
      </c>
      <c r="J772" s="106"/>
      <c r="K772" s="107"/>
      <c r="L772" s="149"/>
    </row>
    <row r="773" spans="1:12" x14ac:dyDescent="0.25">
      <c r="A773" s="476"/>
      <c r="B773" s="275" t="s">
        <v>504</v>
      </c>
      <c r="C773" s="276" t="s">
        <v>1964</v>
      </c>
      <c r="D773" s="276">
        <v>12</v>
      </c>
      <c r="E773" s="275">
        <v>58640088</v>
      </c>
      <c r="F773" s="275"/>
      <c r="G773" s="105" t="s">
        <v>1956</v>
      </c>
      <c r="H773" s="276">
        <v>12</v>
      </c>
      <c r="I773" s="275">
        <v>58895677</v>
      </c>
      <c r="J773" s="106"/>
      <c r="K773" s="107"/>
      <c r="L773" s="149"/>
    </row>
    <row r="774" spans="1:12" x14ac:dyDescent="0.25">
      <c r="A774" s="476"/>
      <c r="B774" s="275" t="s">
        <v>504</v>
      </c>
      <c r="C774" s="276" t="s">
        <v>1960</v>
      </c>
      <c r="D774" s="276">
        <v>12</v>
      </c>
      <c r="E774" s="275">
        <v>58642524</v>
      </c>
      <c r="F774" s="275"/>
      <c r="G774" s="105" t="s">
        <v>1956</v>
      </c>
      <c r="H774" s="276">
        <v>12</v>
      </c>
      <c r="I774" s="275">
        <v>128414825</v>
      </c>
      <c r="J774" s="106"/>
      <c r="K774" s="107"/>
      <c r="L774" s="149"/>
    </row>
    <row r="775" spans="1:12" x14ac:dyDescent="0.25">
      <c r="A775" s="476"/>
      <c r="B775" s="275" t="s">
        <v>504</v>
      </c>
      <c r="C775" s="276" t="s">
        <v>1954</v>
      </c>
      <c r="D775" s="276">
        <v>12</v>
      </c>
      <c r="E775" s="275">
        <v>58642544</v>
      </c>
      <c r="F775" s="275"/>
      <c r="G775" s="105" t="s">
        <v>1956</v>
      </c>
      <c r="H775" s="276">
        <v>12</v>
      </c>
      <c r="I775" s="275">
        <v>59040288</v>
      </c>
      <c r="J775" s="106"/>
      <c r="K775" s="107"/>
      <c r="L775" s="149"/>
    </row>
    <row r="776" spans="1:12" x14ac:dyDescent="0.25">
      <c r="A776" s="476"/>
      <c r="B776" s="275" t="s">
        <v>504</v>
      </c>
      <c r="C776" s="276" t="s">
        <v>1964</v>
      </c>
      <c r="D776" s="276">
        <v>12</v>
      </c>
      <c r="E776" s="275">
        <v>58646146</v>
      </c>
      <c r="F776" s="275"/>
      <c r="G776" s="105" t="s">
        <v>1956</v>
      </c>
      <c r="H776" s="276">
        <v>12</v>
      </c>
      <c r="I776" s="275">
        <v>58963951</v>
      </c>
      <c r="J776" s="106"/>
      <c r="K776" s="107"/>
      <c r="L776" s="149"/>
    </row>
    <row r="777" spans="1:12" x14ac:dyDescent="0.25">
      <c r="A777" s="476"/>
      <c r="B777" s="275" t="s">
        <v>504</v>
      </c>
      <c r="C777" s="276" t="s">
        <v>1954</v>
      </c>
      <c r="D777" s="276">
        <v>12</v>
      </c>
      <c r="E777" s="275">
        <v>58646989</v>
      </c>
      <c r="F777" s="275"/>
      <c r="G777" s="105" t="s">
        <v>1956</v>
      </c>
      <c r="H777" s="276">
        <v>12</v>
      </c>
      <c r="I777" s="275">
        <v>59202553</v>
      </c>
      <c r="J777" s="106"/>
      <c r="K777" s="107"/>
      <c r="L777" s="149"/>
    </row>
    <row r="778" spans="1:12" x14ac:dyDescent="0.25">
      <c r="A778" s="476"/>
      <c r="B778" s="275" t="s">
        <v>504</v>
      </c>
      <c r="C778" s="276" t="s">
        <v>1960</v>
      </c>
      <c r="D778" s="276">
        <v>12</v>
      </c>
      <c r="E778" s="275">
        <v>58655455</v>
      </c>
      <c r="F778" s="275"/>
      <c r="G778" s="105" t="s">
        <v>1956</v>
      </c>
      <c r="H778" s="276">
        <v>12</v>
      </c>
      <c r="I778" s="275">
        <v>59185607</v>
      </c>
      <c r="J778" s="106"/>
      <c r="K778" s="107"/>
      <c r="L778" s="149"/>
    </row>
    <row r="779" spans="1:12" x14ac:dyDescent="0.25">
      <c r="A779" s="476"/>
      <c r="B779" s="275" t="s">
        <v>504</v>
      </c>
      <c r="C779" s="276" t="s">
        <v>1964</v>
      </c>
      <c r="D779" s="276">
        <v>12</v>
      </c>
      <c r="E779" s="275">
        <v>58656224</v>
      </c>
      <c r="F779" s="275"/>
      <c r="G779" s="105" t="s">
        <v>1956</v>
      </c>
      <c r="H779" s="276">
        <v>12</v>
      </c>
      <c r="I779" s="275">
        <v>70263783</v>
      </c>
      <c r="J779" s="106"/>
      <c r="K779" s="107"/>
      <c r="L779" s="149"/>
    </row>
    <row r="780" spans="1:12" x14ac:dyDescent="0.25">
      <c r="A780" s="476"/>
      <c r="B780" s="275" t="s">
        <v>504</v>
      </c>
      <c r="C780" s="276" t="s">
        <v>1964</v>
      </c>
      <c r="D780" s="276">
        <v>12</v>
      </c>
      <c r="E780" s="275">
        <v>58659030</v>
      </c>
      <c r="F780" s="275"/>
      <c r="G780" s="105" t="s">
        <v>1956</v>
      </c>
      <c r="H780" s="276">
        <v>12</v>
      </c>
      <c r="I780" s="275">
        <v>128166922</v>
      </c>
      <c r="J780" s="106"/>
      <c r="K780" s="107"/>
      <c r="L780" s="149"/>
    </row>
    <row r="781" spans="1:12" x14ac:dyDescent="0.25">
      <c r="A781" s="476"/>
      <c r="B781" s="275" t="s">
        <v>504</v>
      </c>
      <c r="C781" s="276" t="s">
        <v>1964</v>
      </c>
      <c r="D781" s="276">
        <v>12</v>
      </c>
      <c r="E781" s="275">
        <v>58662247</v>
      </c>
      <c r="F781" s="275"/>
      <c r="G781" s="105" t="s">
        <v>1956</v>
      </c>
      <c r="H781" s="276">
        <v>12</v>
      </c>
      <c r="I781" s="275">
        <v>71188885</v>
      </c>
      <c r="J781" s="106"/>
      <c r="K781" s="107"/>
      <c r="L781" s="149"/>
    </row>
    <row r="782" spans="1:12" x14ac:dyDescent="0.25">
      <c r="A782" s="476"/>
      <c r="B782" s="275" t="s">
        <v>504</v>
      </c>
      <c r="C782" s="276" t="s">
        <v>1964</v>
      </c>
      <c r="D782" s="276">
        <v>12</v>
      </c>
      <c r="E782" s="275">
        <v>58668977</v>
      </c>
      <c r="F782" s="275"/>
      <c r="G782" s="105" t="s">
        <v>1956</v>
      </c>
      <c r="H782" s="276">
        <v>12</v>
      </c>
      <c r="I782" s="275">
        <v>59054873</v>
      </c>
      <c r="J782" s="106"/>
      <c r="K782" s="107"/>
      <c r="L782" s="149"/>
    </row>
    <row r="783" spans="1:12" x14ac:dyDescent="0.25">
      <c r="A783" s="476"/>
      <c r="B783" s="275" t="s">
        <v>504</v>
      </c>
      <c r="C783" s="276" t="s">
        <v>1964</v>
      </c>
      <c r="D783" s="276">
        <v>12</v>
      </c>
      <c r="E783" s="275">
        <v>58677295</v>
      </c>
      <c r="F783" s="275"/>
      <c r="G783" s="105" t="s">
        <v>1956</v>
      </c>
      <c r="H783" s="276">
        <v>12</v>
      </c>
      <c r="I783" s="275">
        <v>71106144</v>
      </c>
      <c r="J783" s="106"/>
      <c r="K783" s="107"/>
      <c r="L783" s="149"/>
    </row>
    <row r="784" spans="1:12" x14ac:dyDescent="0.25">
      <c r="A784" s="476"/>
      <c r="B784" s="275" t="s">
        <v>504</v>
      </c>
      <c r="C784" s="276" t="s">
        <v>1954</v>
      </c>
      <c r="D784" s="276">
        <v>12</v>
      </c>
      <c r="E784" s="275">
        <v>58677683</v>
      </c>
      <c r="F784" s="275"/>
      <c r="G784" s="105" t="s">
        <v>1956</v>
      </c>
      <c r="H784" s="276">
        <v>12</v>
      </c>
      <c r="I784" s="275">
        <v>69496383</v>
      </c>
      <c r="J784" s="106"/>
      <c r="K784" s="107"/>
      <c r="L784" s="149"/>
    </row>
    <row r="785" spans="1:12" x14ac:dyDescent="0.25">
      <c r="A785" s="476"/>
      <c r="B785" s="275" t="s">
        <v>504</v>
      </c>
      <c r="C785" s="276" t="s">
        <v>1954</v>
      </c>
      <c r="D785" s="276">
        <v>12</v>
      </c>
      <c r="E785" s="275">
        <v>58678903</v>
      </c>
      <c r="F785" s="275"/>
      <c r="G785" s="105" t="s">
        <v>1956</v>
      </c>
      <c r="H785" s="276">
        <v>12</v>
      </c>
      <c r="I785" s="275">
        <v>69660172</v>
      </c>
      <c r="J785" s="106"/>
      <c r="K785" s="107"/>
      <c r="L785" s="149"/>
    </row>
    <row r="786" spans="1:12" x14ac:dyDescent="0.25">
      <c r="A786" s="476"/>
      <c r="B786" s="275" t="s">
        <v>504</v>
      </c>
      <c r="C786" s="276" t="s">
        <v>1964</v>
      </c>
      <c r="D786" s="276">
        <v>12</v>
      </c>
      <c r="E786" s="275">
        <v>58681903</v>
      </c>
      <c r="F786" s="275"/>
      <c r="G786" s="105" t="s">
        <v>1956</v>
      </c>
      <c r="H786" s="276">
        <v>12</v>
      </c>
      <c r="I786" s="275">
        <v>70825261</v>
      </c>
      <c r="J786" s="106"/>
      <c r="K786" s="107"/>
      <c r="L786" s="149"/>
    </row>
    <row r="787" spans="1:12" x14ac:dyDescent="0.25">
      <c r="A787" s="476"/>
      <c r="B787" s="275" t="s">
        <v>504</v>
      </c>
      <c r="C787" s="276" t="s">
        <v>1964</v>
      </c>
      <c r="D787" s="276">
        <v>12</v>
      </c>
      <c r="E787" s="275">
        <v>58686887</v>
      </c>
      <c r="F787" s="275"/>
      <c r="G787" s="105" t="s">
        <v>1956</v>
      </c>
      <c r="H787" s="276">
        <v>12</v>
      </c>
      <c r="I787" s="275">
        <v>128788238</v>
      </c>
      <c r="J787" s="106"/>
      <c r="K787" s="107"/>
      <c r="L787" s="149"/>
    </row>
    <row r="788" spans="1:12" x14ac:dyDescent="0.25">
      <c r="A788" s="476"/>
      <c r="B788" s="275" t="s">
        <v>504</v>
      </c>
      <c r="C788" s="276" t="s">
        <v>1964</v>
      </c>
      <c r="D788" s="276">
        <v>12</v>
      </c>
      <c r="E788" s="275">
        <v>58702380</v>
      </c>
      <c r="F788" s="275"/>
      <c r="G788" s="105" t="s">
        <v>1956</v>
      </c>
      <c r="H788" s="276">
        <v>12</v>
      </c>
      <c r="I788" s="275">
        <v>69419354</v>
      </c>
      <c r="J788" s="106"/>
      <c r="K788" s="107"/>
      <c r="L788" s="149"/>
    </row>
    <row r="789" spans="1:12" x14ac:dyDescent="0.25">
      <c r="A789" s="476"/>
      <c r="B789" s="275" t="s">
        <v>504</v>
      </c>
      <c r="C789" s="276" t="s">
        <v>1954</v>
      </c>
      <c r="D789" s="276">
        <v>12</v>
      </c>
      <c r="E789" s="275">
        <v>58706611</v>
      </c>
      <c r="F789" s="275"/>
      <c r="G789" s="105" t="s">
        <v>1956</v>
      </c>
      <c r="H789" s="276">
        <v>12</v>
      </c>
      <c r="I789" s="275">
        <v>69097947</v>
      </c>
      <c r="J789" s="106"/>
      <c r="K789" s="107"/>
      <c r="L789" s="149"/>
    </row>
    <row r="790" spans="1:12" x14ac:dyDescent="0.25">
      <c r="A790" s="476"/>
      <c r="B790" s="275" t="s">
        <v>504</v>
      </c>
      <c r="C790" s="276" t="s">
        <v>1960</v>
      </c>
      <c r="D790" s="276">
        <v>12</v>
      </c>
      <c r="E790" s="275">
        <v>58713948</v>
      </c>
      <c r="F790" s="275"/>
      <c r="G790" s="105" t="s">
        <v>1956</v>
      </c>
      <c r="H790" s="276">
        <v>12</v>
      </c>
      <c r="I790" s="275">
        <v>69049941</v>
      </c>
      <c r="J790" s="106"/>
      <c r="K790" s="107"/>
      <c r="L790" s="149"/>
    </row>
    <row r="791" spans="1:12" x14ac:dyDescent="0.25">
      <c r="A791" s="476"/>
      <c r="B791" s="275" t="s">
        <v>504</v>
      </c>
      <c r="C791" s="276" t="s">
        <v>1964</v>
      </c>
      <c r="D791" s="276">
        <v>12</v>
      </c>
      <c r="E791" s="275">
        <v>58715640</v>
      </c>
      <c r="F791" s="275"/>
      <c r="G791" s="105" t="s">
        <v>1956</v>
      </c>
      <c r="H791" s="276">
        <v>12</v>
      </c>
      <c r="I791" s="275">
        <v>68990190</v>
      </c>
      <c r="J791" s="106"/>
      <c r="K791" s="107"/>
      <c r="L791" s="149"/>
    </row>
    <row r="792" spans="1:12" x14ac:dyDescent="0.25">
      <c r="A792" s="476"/>
      <c r="B792" s="275" t="s">
        <v>504</v>
      </c>
      <c r="C792" s="276" t="s">
        <v>1964</v>
      </c>
      <c r="D792" s="276">
        <v>12</v>
      </c>
      <c r="E792" s="275">
        <v>58718172</v>
      </c>
      <c r="F792" s="275"/>
      <c r="G792" s="105" t="s">
        <v>1956</v>
      </c>
      <c r="H792" s="276">
        <v>12</v>
      </c>
      <c r="I792" s="275">
        <v>69970948</v>
      </c>
      <c r="J792" s="106"/>
      <c r="K792" s="107"/>
      <c r="L792" s="149"/>
    </row>
    <row r="793" spans="1:12" x14ac:dyDescent="0.25">
      <c r="A793" s="476"/>
      <c r="B793" s="275" t="s">
        <v>504</v>
      </c>
      <c r="C793" s="276" t="s">
        <v>1964</v>
      </c>
      <c r="D793" s="276">
        <v>12</v>
      </c>
      <c r="E793" s="275">
        <v>58718451</v>
      </c>
      <c r="F793" s="275"/>
      <c r="G793" s="105" t="s">
        <v>1956</v>
      </c>
      <c r="H793" s="276">
        <v>12</v>
      </c>
      <c r="I793" s="275">
        <v>69229201</v>
      </c>
      <c r="J793" s="106"/>
      <c r="K793" s="107"/>
      <c r="L793" s="149"/>
    </row>
    <row r="794" spans="1:12" x14ac:dyDescent="0.25">
      <c r="A794" s="476"/>
      <c r="B794" s="275" t="s">
        <v>504</v>
      </c>
      <c r="C794" s="276" t="s">
        <v>1964</v>
      </c>
      <c r="D794" s="276">
        <v>12</v>
      </c>
      <c r="E794" s="275">
        <v>58719461</v>
      </c>
      <c r="F794" s="275"/>
      <c r="G794" s="105" t="s">
        <v>1956</v>
      </c>
      <c r="H794" s="276">
        <v>12</v>
      </c>
      <c r="I794" s="275">
        <v>59290327</v>
      </c>
      <c r="J794" s="106"/>
      <c r="K794" s="107"/>
      <c r="L794" s="149"/>
    </row>
    <row r="795" spans="1:12" x14ac:dyDescent="0.25">
      <c r="A795" s="476"/>
      <c r="B795" s="275" t="s">
        <v>504</v>
      </c>
      <c r="C795" s="276" t="s">
        <v>1960</v>
      </c>
      <c r="D795" s="276">
        <v>12</v>
      </c>
      <c r="E795" s="275">
        <v>58726517</v>
      </c>
      <c r="F795" s="275"/>
      <c r="G795" s="105" t="s">
        <v>1956</v>
      </c>
      <c r="H795" s="276">
        <v>12</v>
      </c>
      <c r="I795" s="275">
        <v>69082104</v>
      </c>
      <c r="J795" s="106"/>
      <c r="K795" s="107"/>
      <c r="L795" s="149"/>
    </row>
    <row r="796" spans="1:12" x14ac:dyDescent="0.25">
      <c r="A796" s="476"/>
      <c r="B796" s="275" t="s">
        <v>504</v>
      </c>
      <c r="C796" s="276" t="s">
        <v>1964</v>
      </c>
      <c r="D796" s="276">
        <v>12</v>
      </c>
      <c r="E796" s="275">
        <v>58731262</v>
      </c>
      <c r="F796" s="275"/>
      <c r="G796" s="105" t="s">
        <v>1956</v>
      </c>
      <c r="H796" s="276">
        <v>12</v>
      </c>
      <c r="I796" s="275">
        <v>128590598</v>
      </c>
      <c r="J796" s="106"/>
      <c r="K796" s="107"/>
      <c r="L796" s="149"/>
    </row>
    <row r="797" spans="1:12" x14ac:dyDescent="0.25">
      <c r="A797" s="476"/>
      <c r="B797" s="275" t="s">
        <v>504</v>
      </c>
      <c r="C797" s="276" t="s">
        <v>1960</v>
      </c>
      <c r="D797" s="276">
        <v>12</v>
      </c>
      <c r="E797" s="275">
        <v>58731448</v>
      </c>
      <c r="F797" s="275"/>
      <c r="G797" s="105" t="s">
        <v>1956</v>
      </c>
      <c r="H797" s="276">
        <v>12</v>
      </c>
      <c r="I797" s="275">
        <v>70938521</v>
      </c>
      <c r="J797" s="106"/>
      <c r="K797" s="107"/>
      <c r="L797" s="149"/>
    </row>
    <row r="798" spans="1:12" x14ac:dyDescent="0.25">
      <c r="A798" s="476"/>
      <c r="B798" s="275" t="s">
        <v>504</v>
      </c>
      <c r="C798" s="276" t="s">
        <v>1954</v>
      </c>
      <c r="D798" s="276">
        <v>12</v>
      </c>
      <c r="E798" s="275">
        <v>58731988</v>
      </c>
      <c r="F798" s="275"/>
      <c r="G798" s="105" t="s">
        <v>1956</v>
      </c>
      <c r="H798" s="276">
        <v>12</v>
      </c>
      <c r="I798" s="275">
        <v>69187332</v>
      </c>
      <c r="J798" s="106"/>
      <c r="K798" s="107"/>
      <c r="L798" s="149"/>
    </row>
    <row r="799" spans="1:12" x14ac:dyDescent="0.25">
      <c r="A799" s="476"/>
      <c r="B799" s="275" t="s">
        <v>504</v>
      </c>
      <c r="C799" s="276" t="s">
        <v>1964</v>
      </c>
      <c r="D799" s="276">
        <v>12</v>
      </c>
      <c r="E799" s="275">
        <v>58732725</v>
      </c>
      <c r="F799" s="275"/>
      <c r="G799" s="105" t="s">
        <v>1956</v>
      </c>
      <c r="H799" s="276">
        <v>12</v>
      </c>
      <c r="I799" s="275">
        <v>58905497</v>
      </c>
      <c r="J799" s="106"/>
      <c r="K799" s="107"/>
      <c r="L799" s="149"/>
    </row>
    <row r="800" spans="1:12" x14ac:dyDescent="0.25">
      <c r="A800" s="476"/>
      <c r="B800" s="275" t="s">
        <v>504</v>
      </c>
      <c r="C800" s="276" t="s">
        <v>1964</v>
      </c>
      <c r="D800" s="276">
        <v>12</v>
      </c>
      <c r="E800" s="275">
        <v>58734753</v>
      </c>
      <c r="F800" s="275"/>
      <c r="G800" s="105" t="s">
        <v>1956</v>
      </c>
      <c r="H800" s="276">
        <v>12</v>
      </c>
      <c r="I800" s="275">
        <v>70378178</v>
      </c>
      <c r="J800" s="106"/>
      <c r="K800" s="107"/>
      <c r="L800" s="149"/>
    </row>
    <row r="801" spans="1:12" x14ac:dyDescent="0.25">
      <c r="A801" s="476"/>
      <c r="B801" s="275" t="s">
        <v>504</v>
      </c>
      <c r="C801" s="276" t="s">
        <v>1960</v>
      </c>
      <c r="D801" s="276">
        <v>12</v>
      </c>
      <c r="E801" s="275">
        <v>58743409</v>
      </c>
      <c r="F801" s="275"/>
      <c r="G801" s="105" t="s">
        <v>1956</v>
      </c>
      <c r="H801" s="276">
        <v>12</v>
      </c>
      <c r="I801" s="275">
        <v>128028391</v>
      </c>
      <c r="J801" s="106"/>
      <c r="K801" s="107"/>
      <c r="L801" s="149"/>
    </row>
    <row r="802" spans="1:12" x14ac:dyDescent="0.25">
      <c r="A802" s="476"/>
      <c r="B802" s="275" t="s">
        <v>504</v>
      </c>
      <c r="C802" s="276" t="s">
        <v>1964</v>
      </c>
      <c r="D802" s="276">
        <v>12</v>
      </c>
      <c r="E802" s="275">
        <v>58750280</v>
      </c>
      <c r="F802" s="275"/>
      <c r="G802" s="105" t="s">
        <v>1956</v>
      </c>
      <c r="H802" s="276">
        <v>12</v>
      </c>
      <c r="I802" s="275">
        <v>59255180</v>
      </c>
      <c r="J802" s="106"/>
      <c r="K802" s="107"/>
      <c r="L802" s="149"/>
    </row>
    <row r="803" spans="1:12" x14ac:dyDescent="0.25">
      <c r="A803" s="476"/>
      <c r="B803" s="275" t="s">
        <v>504</v>
      </c>
      <c r="C803" s="276" t="s">
        <v>1954</v>
      </c>
      <c r="D803" s="276">
        <v>12</v>
      </c>
      <c r="E803" s="275">
        <v>58756715</v>
      </c>
      <c r="F803" s="275"/>
      <c r="G803" s="105" t="s">
        <v>1956</v>
      </c>
      <c r="H803" s="276">
        <v>12</v>
      </c>
      <c r="I803" s="275">
        <v>69276975</v>
      </c>
      <c r="J803" s="106"/>
      <c r="K803" s="107"/>
      <c r="L803" s="149"/>
    </row>
    <row r="804" spans="1:12" x14ac:dyDescent="0.25">
      <c r="A804" s="476"/>
      <c r="B804" s="275" t="s">
        <v>504</v>
      </c>
      <c r="C804" s="276" t="s">
        <v>1964</v>
      </c>
      <c r="D804" s="276">
        <v>12</v>
      </c>
      <c r="E804" s="275">
        <v>58758526</v>
      </c>
      <c r="F804" s="275"/>
      <c r="G804" s="105" t="s">
        <v>1956</v>
      </c>
      <c r="H804" s="276">
        <v>12</v>
      </c>
      <c r="I804" s="275">
        <v>69984145</v>
      </c>
      <c r="J804" s="106"/>
      <c r="K804" s="107"/>
      <c r="L804" s="149"/>
    </row>
    <row r="805" spans="1:12" x14ac:dyDescent="0.25">
      <c r="A805" s="476"/>
      <c r="B805" s="275" t="s">
        <v>504</v>
      </c>
      <c r="C805" s="276" t="s">
        <v>1954</v>
      </c>
      <c r="D805" s="276">
        <v>12</v>
      </c>
      <c r="E805" s="275">
        <v>58758770</v>
      </c>
      <c r="F805" s="275"/>
      <c r="G805" s="105" t="s">
        <v>1956</v>
      </c>
      <c r="H805" s="276">
        <v>12</v>
      </c>
      <c r="I805" s="275">
        <v>69644086</v>
      </c>
      <c r="J805" s="106"/>
      <c r="K805" s="107"/>
      <c r="L805" s="149"/>
    </row>
    <row r="806" spans="1:12" x14ac:dyDescent="0.25">
      <c r="A806" s="476"/>
      <c r="B806" s="275" t="s">
        <v>504</v>
      </c>
      <c r="C806" s="276" t="s">
        <v>1964</v>
      </c>
      <c r="D806" s="276">
        <v>12</v>
      </c>
      <c r="E806" s="275">
        <v>58773962</v>
      </c>
      <c r="F806" s="275"/>
      <c r="G806" s="105" t="s">
        <v>1956</v>
      </c>
      <c r="H806" s="276">
        <v>12</v>
      </c>
      <c r="I806" s="275">
        <v>128666803</v>
      </c>
      <c r="J806" s="106"/>
      <c r="K806" s="107"/>
      <c r="L806" s="149"/>
    </row>
    <row r="807" spans="1:12" x14ac:dyDescent="0.25">
      <c r="A807" s="476"/>
      <c r="B807" s="275" t="s">
        <v>504</v>
      </c>
      <c r="C807" s="276" t="s">
        <v>1964</v>
      </c>
      <c r="D807" s="276">
        <v>12</v>
      </c>
      <c r="E807" s="275">
        <v>58787273</v>
      </c>
      <c r="F807" s="275"/>
      <c r="G807" s="105" t="s">
        <v>1956</v>
      </c>
      <c r="H807" s="276">
        <v>12</v>
      </c>
      <c r="I807" s="275">
        <v>58904929</v>
      </c>
      <c r="J807" s="106"/>
      <c r="K807" s="107"/>
      <c r="L807" s="149"/>
    </row>
    <row r="808" spans="1:12" x14ac:dyDescent="0.25">
      <c r="A808" s="476"/>
      <c r="B808" s="275" t="s">
        <v>504</v>
      </c>
      <c r="C808" s="276" t="s">
        <v>1964</v>
      </c>
      <c r="D808" s="276">
        <v>12</v>
      </c>
      <c r="E808" s="275">
        <v>58790301</v>
      </c>
      <c r="F808" s="275"/>
      <c r="G808" s="105" t="s">
        <v>1956</v>
      </c>
      <c r="H808" s="276">
        <v>12</v>
      </c>
      <c r="I808" s="275">
        <v>69582052</v>
      </c>
      <c r="J808" s="106"/>
      <c r="K808" s="107"/>
      <c r="L808" s="149"/>
    </row>
    <row r="809" spans="1:12" x14ac:dyDescent="0.25">
      <c r="A809" s="476"/>
      <c r="B809" s="275" t="s">
        <v>504</v>
      </c>
      <c r="C809" s="276" t="s">
        <v>1964</v>
      </c>
      <c r="D809" s="276">
        <v>12</v>
      </c>
      <c r="E809" s="275">
        <v>58791612</v>
      </c>
      <c r="F809" s="275"/>
      <c r="G809" s="105" t="s">
        <v>1956</v>
      </c>
      <c r="H809" s="276">
        <v>12</v>
      </c>
      <c r="I809" s="275">
        <v>128678205</v>
      </c>
      <c r="J809" s="106"/>
      <c r="K809" s="107"/>
      <c r="L809" s="149"/>
    </row>
    <row r="810" spans="1:12" x14ac:dyDescent="0.25">
      <c r="A810" s="476"/>
      <c r="B810" s="275" t="s">
        <v>504</v>
      </c>
      <c r="C810" s="276" t="s">
        <v>1964</v>
      </c>
      <c r="D810" s="276">
        <v>12</v>
      </c>
      <c r="E810" s="275">
        <v>58792936</v>
      </c>
      <c r="F810" s="275"/>
      <c r="G810" s="105" t="s">
        <v>1956</v>
      </c>
      <c r="H810" s="276">
        <v>12</v>
      </c>
      <c r="I810" s="275">
        <v>128448830</v>
      </c>
      <c r="J810" s="106"/>
      <c r="K810" s="107"/>
      <c r="L810" s="149"/>
    </row>
    <row r="811" spans="1:12" x14ac:dyDescent="0.25">
      <c r="A811" s="476"/>
      <c r="B811" s="275" t="s">
        <v>504</v>
      </c>
      <c r="C811" s="276" t="s">
        <v>1954</v>
      </c>
      <c r="D811" s="276">
        <v>12</v>
      </c>
      <c r="E811" s="275">
        <v>58798764</v>
      </c>
      <c r="F811" s="275"/>
      <c r="G811" s="105" t="s">
        <v>1956</v>
      </c>
      <c r="H811" s="276">
        <v>12</v>
      </c>
      <c r="I811" s="275">
        <v>71242499</v>
      </c>
      <c r="J811" s="106"/>
      <c r="K811" s="107"/>
      <c r="L811" s="149"/>
    </row>
    <row r="812" spans="1:12" x14ac:dyDescent="0.25">
      <c r="A812" s="476"/>
      <c r="B812" s="275" t="s">
        <v>504</v>
      </c>
      <c r="C812" s="276" t="s">
        <v>1954</v>
      </c>
      <c r="D812" s="276">
        <v>12</v>
      </c>
      <c r="E812" s="275">
        <v>58821118</v>
      </c>
      <c r="F812" s="275"/>
      <c r="G812" s="105" t="s">
        <v>1956</v>
      </c>
      <c r="H812" s="276">
        <v>12</v>
      </c>
      <c r="I812" s="275">
        <v>128543143</v>
      </c>
      <c r="J812" s="106"/>
      <c r="K812" s="107"/>
      <c r="L812" s="149"/>
    </row>
    <row r="813" spans="1:12" x14ac:dyDescent="0.25">
      <c r="A813" s="476"/>
      <c r="B813" s="275" t="s">
        <v>504</v>
      </c>
      <c r="C813" s="276" t="s">
        <v>1964</v>
      </c>
      <c r="D813" s="276">
        <v>12</v>
      </c>
      <c r="E813" s="275">
        <v>58827617</v>
      </c>
      <c r="F813" s="275"/>
      <c r="G813" s="105" t="s">
        <v>1956</v>
      </c>
      <c r="H813" s="276">
        <v>12</v>
      </c>
      <c r="I813" s="275">
        <v>69600827</v>
      </c>
      <c r="J813" s="106"/>
      <c r="K813" s="107"/>
      <c r="L813" s="149"/>
    </row>
    <row r="814" spans="1:12" x14ac:dyDescent="0.25">
      <c r="A814" s="476"/>
      <c r="B814" s="275" t="s">
        <v>504</v>
      </c>
      <c r="C814" s="276" t="s">
        <v>1964</v>
      </c>
      <c r="D814" s="276">
        <v>12</v>
      </c>
      <c r="E814" s="275">
        <v>58828684</v>
      </c>
      <c r="F814" s="275"/>
      <c r="G814" s="105" t="s">
        <v>1956</v>
      </c>
      <c r="H814" s="276">
        <v>12</v>
      </c>
      <c r="I814" s="275">
        <v>128037689</v>
      </c>
      <c r="J814" s="106"/>
      <c r="K814" s="107"/>
      <c r="L814" s="149"/>
    </row>
    <row r="815" spans="1:12" x14ac:dyDescent="0.25">
      <c r="A815" s="476"/>
      <c r="B815" s="275" t="s">
        <v>504</v>
      </c>
      <c r="C815" s="276" t="s">
        <v>1954</v>
      </c>
      <c r="D815" s="276">
        <v>12</v>
      </c>
      <c r="E815" s="275">
        <v>58832917</v>
      </c>
      <c r="F815" s="275"/>
      <c r="G815" s="105" t="s">
        <v>1956</v>
      </c>
      <c r="H815" s="276">
        <v>12</v>
      </c>
      <c r="I815" s="275">
        <v>128781058</v>
      </c>
      <c r="J815" s="106"/>
      <c r="K815" s="107"/>
      <c r="L815" s="149"/>
    </row>
    <row r="816" spans="1:12" x14ac:dyDescent="0.25">
      <c r="A816" s="476"/>
      <c r="B816" s="275" t="s">
        <v>504</v>
      </c>
      <c r="C816" s="276" t="s">
        <v>1954</v>
      </c>
      <c r="D816" s="276">
        <v>12</v>
      </c>
      <c r="E816" s="275">
        <v>58834720</v>
      </c>
      <c r="F816" s="275"/>
      <c r="G816" s="105" t="s">
        <v>1956</v>
      </c>
      <c r="H816" s="276">
        <v>12</v>
      </c>
      <c r="I816" s="275">
        <v>128136643</v>
      </c>
      <c r="J816" s="106"/>
      <c r="K816" s="107"/>
      <c r="L816" s="149"/>
    </row>
    <row r="817" spans="1:12" x14ac:dyDescent="0.25">
      <c r="A817" s="476"/>
      <c r="B817" s="275" t="s">
        <v>504</v>
      </c>
      <c r="C817" s="276" t="s">
        <v>1954</v>
      </c>
      <c r="D817" s="276">
        <v>12</v>
      </c>
      <c r="E817" s="275">
        <v>58837087</v>
      </c>
      <c r="F817" s="275"/>
      <c r="G817" s="105" t="s">
        <v>1956</v>
      </c>
      <c r="H817" s="276">
        <v>12</v>
      </c>
      <c r="I817" s="275">
        <v>69262828</v>
      </c>
      <c r="J817" s="106"/>
      <c r="K817" s="107"/>
      <c r="L817" s="149"/>
    </row>
    <row r="818" spans="1:12" x14ac:dyDescent="0.25">
      <c r="A818" s="476"/>
      <c r="B818" s="275" t="s">
        <v>504</v>
      </c>
      <c r="C818" s="276" t="s">
        <v>1964</v>
      </c>
      <c r="D818" s="276">
        <v>12</v>
      </c>
      <c r="E818" s="275">
        <v>58841172</v>
      </c>
      <c r="F818" s="275"/>
      <c r="G818" s="105" t="s">
        <v>1956</v>
      </c>
      <c r="H818" s="276">
        <v>12</v>
      </c>
      <c r="I818" s="275">
        <v>128011681</v>
      </c>
      <c r="J818" s="106"/>
      <c r="K818" s="107"/>
      <c r="L818" s="149"/>
    </row>
    <row r="819" spans="1:12" x14ac:dyDescent="0.25">
      <c r="A819" s="476"/>
      <c r="B819" s="275" t="s">
        <v>504</v>
      </c>
      <c r="C819" s="276" t="s">
        <v>1964</v>
      </c>
      <c r="D819" s="276">
        <v>12</v>
      </c>
      <c r="E819" s="275">
        <v>58845249</v>
      </c>
      <c r="F819" s="275"/>
      <c r="G819" s="105" t="s">
        <v>1956</v>
      </c>
      <c r="H819" s="276">
        <v>12</v>
      </c>
      <c r="I819" s="275">
        <v>128503493</v>
      </c>
      <c r="J819" s="106"/>
      <c r="K819" s="107"/>
      <c r="L819" s="149"/>
    </row>
    <row r="820" spans="1:12" x14ac:dyDescent="0.25">
      <c r="A820" s="476"/>
      <c r="B820" s="275" t="s">
        <v>504</v>
      </c>
      <c r="C820" s="276" t="s">
        <v>1960</v>
      </c>
      <c r="D820" s="276">
        <v>12</v>
      </c>
      <c r="E820" s="275">
        <v>58845756</v>
      </c>
      <c r="F820" s="275"/>
      <c r="G820" s="105" t="s">
        <v>1956</v>
      </c>
      <c r="H820" s="276">
        <v>12</v>
      </c>
      <c r="I820" s="275">
        <v>71234356</v>
      </c>
      <c r="J820" s="106"/>
      <c r="K820" s="107"/>
      <c r="L820" s="149"/>
    </row>
    <row r="821" spans="1:12" x14ac:dyDescent="0.25">
      <c r="A821" s="476"/>
      <c r="B821" s="275" t="s">
        <v>504</v>
      </c>
      <c r="C821" s="276" t="s">
        <v>1960</v>
      </c>
      <c r="D821" s="276">
        <v>12</v>
      </c>
      <c r="E821" s="275">
        <v>58845766</v>
      </c>
      <c r="F821" s="275"/>
      <c r="G821" s="105" t="s">
        <v>1956</v>
      </c>
      <c r="H821" s="276">
        <v>12</v>
      </c>
      <c r="I821" s="275">
        <v>71234355</v>
      </c>
      <c r="J821" s="106"/>
      <c r="K821" s="107"/>
      <c r="L821" s="149"/>
    </row>
    <row r="822" spans="1:12" x14ac:dyDescent="0.25">
      <c r="A822" s="476"/>
      <c r="B822" s="275" t="s">
        <v>504</v>
      </c>
      <c r="C822" s="276" t="s">
        <v>1964</v>
      </c>
      <c r="D822" s="276">
        <v>12</v>
      </c>
      <c r="E822" s="275">
        <v>58847741</v>
      </c>
      <c r="F822" s="275"/>
      <c r="G822" s="105" t="s">
        <v>1956</v>
      </c>
      <c r="H822" s="276">
        <v>12</v>
      </c>
      <c r="I822" s="275">
        <v>69180993</v>
      </c>
      <c r="J822" s="106"/>
      <c r="K822" s="107"/>
      <c r="L822" s="149"/>
    </row>
    <row r="823" spans="1:12" x14ac:dyDescent="0.25">
      <c r="A823" s="476"/>
      <c r="B823" s="275" t="s">
        <v>504</v>
      </c>
      <c r="C823" s="276" t="s">
        <v>1960</v>
      </c>
      <c r="D823" s="276">
        <v>12</v>
      </c>
      <c r="E823" s="275">
        <v>58852508</v>
      </c>
      <c r="F823" s="275"/>
      <c r="G823" s="105" t="s">
        <v>1956</v>
      </c>
      <c r="H823" s="276">
        <v>12</v>
      </c>
      <c r="I823" s="275">
        <v>68697152</v>
      </c>
      <c r="J823" s="106"/>
      <c r="K823" s="107"/>
      <c r="L823" s="149"/>
    </row>
    <row r="824" spans="1:12" x14ac:dyDescent="0.25">
      <c r="A824" s="476"/>
      <c r="B824" s="275" t="s">
        <v>504</v>
      </c>
      <c r="C824" s="276" t="s">
        <v>1954</v>
      </c>
      <c r="D824" s="276">
        <v>12</v>
      </c>
      <c r="E824" s="275">
        <v>58856090</v>
      </c>
      <c r="F824" s="275"/>
      <c r="G824" s="105" t="s">
        <v>1956</v>
      </c>
      <c r="H824" s="276">
        <v>12</v>
      </c>
      <c r="I824" s="275">
        <v>69721824</v>
      </c>
      <c r="J824" s="106"/>
      <c r="K824" s="107"/>
      <c r="L824" s="149"/>
    </row>
    <row r="825" spans="1:12" x14ac:dyDescent="0.25">
      <c r="A825" s="476"/>
      <c r="B825" s="275" t="s">
        <v>504</v>
      </c>
      <c r="C825" s="276" t="s">
        <v>1964</v>
      </c>
      <c r="D825" s="276">
        <v>12</v>
      </c>
      <c r="E825" s="275">
        <v>58881835</v>
      </c>
      <c r="F825" s="275"/>
      <c r="G825" s="105" t="s">
        <v>1956</v>
      </c>
      <c r="H825" s="276">
        <v>12</v>
      </c>
      <c r="I825" s="275">
        <v>68952354</v>
      </c>
      <c r="J825" s="106"/>
      <c r="K825" s="107"/>
      <c r="L825" s="149"/>
    </row>
    <row r="826" spans="1:12" x14ac:dyDescent="0.25">
      <c r="A826" s="476"/>
      <c r="B826" s="275" t="s">
        <v>504</v>
      </c>
      <c r="C826" s="276" t="s">
        <v>1960</v>
      </c>
      <c r="D826" s="276">
        <v>12</v>
      </c>
      <c r="E826" s="275">
        <v>58885287</v>
      </c>
      <c r="F826" s="275"/>
      <c r="G826" s="105" t="s">
        <v>1956</v>
      </c>
      <c r="H826" s="276">
        <v>12</v>
      </c>
      <c r="I826" s="275">
        <v>70259077</v>
      </c>
      <c r="J826" s="106"/>
      <c r="K826" s="107"/>
      <c r="L826" s="149"/>
    </row>
    <row r="827" spans="1:12" x14ac:dyDescent="0.25">
      <c r="A827" s="476"/>
      <c r="B827" s="275" t="s">
        <v>504</v>
      </c>
      <c r="C827" s="276" t="s">
        <v>1964</v>
      </c>
      <c r="D827" s="276">
        <v>12</v>
      </c>
      <c r="E827" s="275">
        <v>58888557</v>
      </c>
      <c r="F827" s="275"/>
      <c r="G827" s="105" t="s">
        <v>1956</v>
      </c>
      <c r="H827" s="276">
        <v>12</v>
      </c>
      <c r="I827" s="275">
        <v>128141913</v>
      </c>
      <c r="J827" s="106"/>
      <c r="K827" s="107"/>
      <c r="L827" s="149"/>
    </row>
    <row r="828" spans="1:12" x14ac:dyDescent="0.25">
      <c r="A828" s="476"/>
      <c r="B828" s="275" t="s">
        <v>504</v>
      </c>
      <c r="C828" s="276" t="s">
        <v>1964</v>
      </c>
      <c r="D828" s="276">
        <v>12</v>
      </c>
      <c r="E828" s="275">
        <v>58888875</v>
      </c>
      <c r="F828" s="275"/>
      <c r="G828" s="105" t="s">
        <v>1956</v>
      </c>
      <c r="H828" s="276">
        <v>12</v>
      </c>
      <c r="I828" s="275">
        <v>70854646</v>
      </c>
      <c r="J828" s="106"/>
      <c r="K828" s="107"/>
      <c r="L828" s="149"/>
    </row>
    <row r="829" spans="1:12" x14ac:dyDescent="0.25">
      <c r="A829" s="476"/>
      <c r="B829" s="275" t="s">
        <v>504</v>
      </c>
      <c r="C829" s="276" t="s">
        <v>1964</v>
      </c>
      <c r="D829" s="276">
        <v>12</v>
      </c>
      <c r="E829" s="275">
        <v>58890531</v>
      </c>
      <c r="F829" s="275"/>
      <c r="G829" s="105" t="s">
        <v>1956</v>
      </c>
      <c r="H829" s="276">
        <v>12</v>
      </c>
      <c r="I829" s="275">
        <v>69487126</v>
      </c>
      <c r="J829" s="106"/>
      <c r="K829" s="107"/>
      <c r="L829" s="149"/>
    </row>
    <row r="830" spans="1:12" x14ac:dyDescent="0.25">
      <c r="A830" s="476"/>
      <c r="B830" s="275" t="s">
        <v>504</v>
      </c>
      <c r="C830" s="276" t="s">
        <v>1960</v>
      </c>
      <c r="D830" s="276">
        <v>12</v>
      </c>
      <c r="E830" s="275">
        <v>58890704</v>
      </c>
      <c r="F830" s="275"/>
      <c r="G830" s="105" t="s">
        <v>1956</v>
      </c>
      <c r="H830" s="276">
        <v>12</v>
      </c>
      <c r="I830" s="275">
        <v>71178420</v>
      </c>
      <c r="J830" s="106"/>
      <c r="K830" s="107"/>
      <c r="L830" s="149"/>
    </row>
    <row r="831" spans="1:12" x14ac:dyDescent="0.25">
      <c r="A831" s="476"/>
      <c r="B831" s="275" t="s">
        <v>504</v>
      </c>
      <c r="C831" s="276" t="s">
        <v>1960</v>
      </c>
      <c r="D831" s="276">
        <v>12</v>
      </c>
      <c r="E831" s="275">
        <v>58890728</v>
      </c>
      <c r="F831" s="275"/>
      <c r="G831" s="105" t="s">
        <v>1956</v>
      </c>
      <c r="H831" s="276">
        <v>12</v>
      </c>
      <c r="I831" s="275">
        <v>69275655</v>
      </c>
      <c r="J831" s="106"/>
      <c r="K831" s="107"/>
      <c r="L831" s="149"/>
    </row>
    <row r="832" spans="1:12" x14ac:dyDescent="0.25">
      <c r="A832" s="476"/>
      <c r="B832" s="275" t="s">
        <v>504</v>
      </c>
      <c r="C832" s="276" t="s">
        <v>1964</v>
      </c>
      <c r="D832" s="276">
        <v>12</v>
      </c>
      <c r="E832" s="275">
        <v>58892995</v>
      </c>
      <c r="F832" s="275"/>
      <c r="G832" s="105" t="s">
        <v>1956</v>
      </c>
      <c r="H832" s="276">
        <v>12</v>
      </c>
      <c r="I832" s="275">
        <v>70135936</v>
      </c>
      <c r="J832" s="106"/>
      <c r="K832" s="107"/>
      <c r="L832" s="149"/>
    </row>
    <row r="833" spans="1:12" x14ac:dyDescent="0.25">
      <c r="A833" s="476"/>
      <c r="B833" s="275" t="s">
        <v>504</v>
      </c>
      <c r="C833" s="276" t="s">
        <v>1960</v>
      </c>
      <c r="D833" s="276">
        <v>12</v>
      </c>
      <c r="E833" s="275">
        <v>58895186</v>
      </c>
      <c r="F833" s="275"/>
      <c r="G833" s="105" t="s">
        <v>1956</v>
      </c>
      <c r="H833" s="276">
        <v>12</v>
      </c>
      <c r="I833" s="275">
        <v>69360663</v>
      </c>
      <c r="J833" s="106"/>
      <c r="K833" s="107"/>
      <c r="L833" s="149"/>
    </row>
    <row r="834" spans="1:12" x14ac:dyDescent="0.25">
      <c r="A834" s="476"/>
      <c r="B834" s="275" t="s">
        <v>504</v>
      </c>
      <c r="C834" s="276" t="s">
        <v>1964</v>
      </c>
      <c r="D834" s="276">
        <v>12</v>
      </c>
      <c r="E834" s="275">
        <v>58898432</v>
      </c>
      <c r="F834" s="275"/>
      <c r="G834" s="105" t="s">
        <v>1956</v>
      </c>
      <c r="H834" s="276">
        <v>12</v>
      </c>
      <c r="I834" s="275">
        <v>128787365</v>
      </c>
      <c r="J834" s="106"/>
      <c r="K834" s="107"/>
      <c r="L834" s="149"/>
    </row>
    <row r="835" spans="1:12" x14ac:dyDescent="0.25">
      <c r="A835" s="476"/>
      <c r="B835" s="275" t="s">
        <v>504</v>
      </c>
      <c r="C835" s="276" t="s">
        <v>1954</v>
      </c>
      <c r="D835" s="276">
        <v>12</v>
      </c>
      <c r="E835" s="275">
        <v>58898714</v>
      </c>
      <c r="F835" s="275"/>
      <c r="G835" s="105" t="s">
        <v>1956</v>
      </c>
      <c r="H835" s="276">
        <v>12</v>
      </c>
      <c r="I835" s="275">
        <v>128082173</v>
      </c>
      <c r="J835" s="106"/>
      <c r="K835" s="107"/>
      <c r="L835" s="149"/>
    </row>
    <row r="836" spans="1:12" x14ac:dyDescent="0.25">
      <c r="A836" s="476"/>
      <c r="B836" s="275" t="s">
        <v>504</v>
      </c>
      <c r="C836" s="276" t="s">
        <v>1964</v>
      </c>
      <c r="D836" s="276">
        <v>12</v>
      </c>
      <c r="E836" s="275">
        <v>58900932</v>
      </c>
      <c r="F836" s="275"/>
      <c r="G836" s="105" t="s">
        <v>1956</v>
      </c>
      <c r="H836" s="276">
        <v>12</v>
      </c>
      <c r="I836" s="275">
        <v>69864609</v>
      </c>
      <c r="J836" s="106"/>
      <c r="K836" s="107"/>
      <c r="L836" s="149"/>
    </row>
    <row r="837" spans="1:12" x14ac:dyDescent="0.25">
      <c r="A837" s="476"/>
      <c r="B837" s="275" t="s">
        <v>504</v>
      </c>
      <c r="C837" s="276" t="s">
        <v>1964</v>
      </c>
      <c r="D837" s="276">
        <v>12</v>
      </c>
      <c r="E837" s="275">
        <v>58908221</v>
      </c>
      <c r="F837" s="275"/>
      <c r="G837" s="105" t="s">
        <v>1956</v>
      </c>
      <c r="H837" s="276">
        <v>12</v>
      </c>
      <c r="I837" s="275">
        <v>69575118</v>
      </c>
      <c r="J837" s="106"/>
      <c r="K837" s="107"/>
      <c r="L837" s="149"/>
    </row>
    <row r="838" spans="1:12" x14ac:dyDescent="0.25">
      <c r="A838" s="476"/>
      <c r="B838" s="275" t="s">
        <v>504</v>
      </c>
      <c r="C838" s="276" t="s">
        <v>1964</v>
      </c>
      <c r="D838" s="276">
        <v>12</v>
      </c>
      <c r="E838" s="275">
        <v>58909161</v>
      </c>
      <c r="F838" s="275"/>
      <c r="G838" s="105" t="s">
        <v>1956</v>
      </c>
      <c r="H838" s="276">
        <v>12</v>
      </c>
      <c r="I838" s="275">
        <v>70651171</v>
      </c>
      <c r="J838" s="106"/>
      <c r="K838" s="107"/>
      <c r="L838" s="149"/>
    </row>
    <row r="839" spans="1:12" x14ac:dyDescent="0.25">
      <c r="A839" s="476"/>
      <c r="B839" s="275" t="s">
        <v>504</v>
      </c>
      <c r="C839" s="276" t="s">
        <v>1964</v>
      </c>
      <c r="D839" s="276">
        <v>12</v>
      </c>
      <c r="E839" s="275">
        <v>58910275</v>
      </c>
      <c r="F839" s="275"/>
      <c r="G839" s="105" t="s">
        <v>1956</v>
      </c>
      <c r="H839" s="276">
        <v>12</v>
      </c>
      <c r="I839" s="275">
        <v>69965463</v>
      </c>
      <c r="J839" s="106"/>
      <c r="K839" s="107"/>
      <c r="L839" s="149"/>
    </row>
    <row r="840" spans="1:12" x14ac:dyDescent="0.25">
      <c r="A840" s="476"/>
      <c r="B840" s="275" t="s">
        <v>504</v>
      </c>
      <c r="C840" s="276" t="s">
        <v>1954</v>
      </c>
      <c r="D840" s="276">
        <v>12</v>
      </c>
      <c r="E840" s="275">
        <v>58910975</v>
      </c>
      <c r="F840" s="275"/>
      <c r="G840" s="105" t="s">
        <v>1956</v>
      </c>
      <c r="H840" s="276">
        <v>12</v>
      </c>
      <c r="I840" s="275">
        <v>58933104</v>
      </c>
      <c r="J840" s="106"/>
      <c r="K840" s="107"/>
      <c r="L840" s="149"/>
    </row>
    <row r="841" spans="1:12" x14ac:dyDescent="0.25">
      <c r="A841" s="476"/>
      <c r="B841" s="275" t="s">
        <v>504</v>
      </c>
      <c r="C841" s="276" t="s">
        <v>1960</v>
      </c>
      <c r="D841" s="276">
        <v>12</v>
      </c>
      <c r="E841" s="275">
        <v>58911036</v>
      </c>
      <c r="F841" s="275"/>
      <c r="G841" s="105" t="s">
        <v>1956</v>
      </c>
      <c r="H841" s="276">
        <v>12</v>
      </c>
      <c r="I841" s="275">
        <v>128611054</v>
      </c>
      <c r="J841" s="106"/>
      <c r="K841" s="107"/>
      <c r="L841" s="149"/>
    </row>
    <row r="842" spans="1:12" x14ac:dyDescent="0.25">
      <c r="A842" s="476"/>
      <c r="B842" s="275" t="s">
        <v>504</v>
      </c>
      <c r="C842" s="276" t="s">
        <v>1960</v>
      </c>
      <c r="D842" s="276">
        <v>12</v>
      </c>
      <c r="E842" s="275">
        <v>58931286</v>
      </c>
      <c r="F842" s="275"/>
      <c r="G842" s="105" t="s">
        <v>1956</v>
      </c>
      <c r="H842" s="276">
        <v>12</v>
      </c>
      <c r="I842" s="275">
        <v>128802238</v>
      </c>
      <c r="J842" s="106"/>
      <c r="K842" s="107"/>
      <c r="L842" s="149"/>
    </row>
    <row r="843" spans="1:12" x14ac:dyDescent="0.25">
      <c r="A843" s="476"/>
      <c r="B843" s="275" t="s">
        <v>504</v>
      </c>
      <c r="C843" s="276" t="s">
        <v>1964</v>
      </c>
      <c r="D843" s="276">
        <v>12</v>
      </c>
      <c r="E843" s="275">
        <v>58934415</v>
      </c>
      <c r="F843" s="275"/>
      <c r="G843" s="105" t="s">
        <v>1956</v>
      </c>
      <c r="H843" s="276">
        <v>12</v>
      </c>
      <c r="I843" s="275">
        <v>69470531</v>
      </c>
      <c r="J843" s="106"/>
      <c r="K843" s="107"/>
      <c r="L843" s="149"/>
    </row>
    <row r="844" spans="1:12" x14ac:dyDescent="0.25">
      <c r="A844" s="476"/>
      <c r="B844" s="275" t="s">
        <v>504</v>
      </c>
      <c r="C844" s="276" t="s">
        <v>1964</v>
      </c>
      <c r="D844" s="276">
        <v>12</v>
      </c>
      <c r="E844" s="275">
        <v>58946084</v>
      </c>
      <c r="F844" s="275"/>
      <c r="G844" s="105" t="s">
        <v>1956</v>
      </c>
      <c r="H844" s="276">
        <v>12</v>
      </c>
      <c r="I844" s="275">
        <v>59096792</v>
      </c>
      <c r="J844" s="106"/>
      <c r="K844" s="107"/>
      <c r="L844" s="149"/>
    </row>
    <row r="845" spans="1:12" x14ac:dyDescent="0.25">
      <c r="A845" s="476"/>
      <c r="B845" s="275" t="s">
        <v>504</v>
      </c>
      <c r="C845" s="276" t="s">
        <v>1960</v>
      </c>
      <c r="D845" s="276">
        <v>12</v>
      </c>
      <c r="E845" s="275">
        <v>58946474</v>
      </c>
      <c r="F845" s="275"/>
      <c r="G845" s="105" t="s">
        <v>1956</v>
      </c>
      <c r="H845" s="276">
        <v>12</v>
      </c>
      <c r="I845" s="275">
        <v>70289320</v>
      </c>
      <c r="J845" s="106"/>
      <c r="K845" s="107"/>
      <c r="L845" s="149"/>
    </row>
    <row r="846" spans="1:12" x14ac:dyDescent="0.25">
      <c r="A846" s="476"/>
      <c r="B846" s="275" t="s">
        <v>504</v>
      </c>
      <c r="C846" s="276" t="s">
        <v>1964</v>
      </c>
      <c r="D846" s="276">
        <v>12</v>
      </c>
      <c r="E846" s="275">
        <v>58947139</v>
      </c>
      <c r="F846" s="275"/>
      <c r="G846" s="105" t="s">
        <v>1956</v>
      </c>
      <c r="H846" s="276">
        <v>12</v>
      </c>
      <c r="I846" s="275">
        <v>69207678</v>
      </c>
      <c r="J846" s="106"/>
      <c r="K846" s="107"/>
      <c r="L846" s="149"/>
    </row>
    <row r="847" spans="1:12" x14ac:dyDescent="0.25">
      <c r="A847" s="476"/>
      <c r="B847" s="275" t="s">
        <v>504</v>
      </c>
      <c r="C847" s="276" t="s">
        <v>1964</v>
      </c>
      <c r="D847" s="276">
        <v>12</v>
      </c>
      <c r="E847" s="275">
        <v>58948835</v>
      </c>
      <c r="F847" s="275"/>
      <c r="G847" s="105" t="s">
        <v>1956</v>
      </c>
      <c r="H847" s="276">
        <v>12</v>
      </c>
      <c r="I847" s="275">
        <v>71010607</v>
      </c>
      <c r="J847" s="106"/>
      <c r="K847" s="107"/>
      <c r="L847" s="149"/>
    </row>
    <row r="848" spans="1:12" x14ac:dyDescent="0.25">
      <c r="A848" s="476"/>
      <c r="B848" s="275" t="s">
        <v>504</v>
      </c>
      <c r="C848" s="276" t="s">
        <v>1964</v>
      </c>
      <c r="D848" s="276">
        <v>12</v>
      </c>
      <c r="E848" s="275">
        <v>58949661</v>
      </c>
      <c r="F848" s="275"/>
      <c r="G848" s="105" t="s">
        <v>1956</v>
      </c>
      <c r="H848" s="276">
        <v>12</v>
      </c>
      <c r="I848" s="275">
        <v>128130742</v>
      </c>
      <c r="J848" s="106"/>
      <c r="K848" s="107"/>
      <c r="L848" s="149"/>
    </row>
    <row r="849" spans="1:12" x14ac:dyDescent="0.25">
      <c r="A849" s="476"/>
      <c r="B849" s="275" t="s">
        <v>504</v>
      </c>
      <c r="C849" s="276" t="s">
        <v>1954</v>
      </c>
      <c r="D849" s="276">
        <v>12</v>
      </c>
      <c r="E849" s="275">
        <v>58949737</v>
      </c>
      <c r="F849" s="275"/>
      <c r="G849" s="105" t="s">
        <v>1956</v>
      </c>
      <c r="H849" s="276">
        <v>12</v>
      </c>
      <c r="I849" s="275">
        <v>70364806</v>
      </c>
      <c r="J849" s="106"/>
      <c r="K849" s="107"/>
      <c r="L849" s="149"/>
    </row>
    <row r="850" spans="1:12" x14ac:dyDescent="0.25">
      <c r="A850" s="476"/>
      <c r="B850" s="275" t="s">
        <v>504</v>
      </c>
      <c r="C850" s="276" t="s">
        <v>1964</v>
      </c>
      <c r="D850" s="276">
        <v>12</v>
      </c>
      <c r="E850" s="275">
        <v>58950358</v>
      </c>
      <c r="F850" s="275"/>
      <c r="G850" s="105" t="s">
        <v>1956</v>
      </c>
      <c r="H850" s="276">
        <v>12</v>
      </c>
      <c r="I850" s="275">
        <v>70133287</v>
      </c>
      <c r="J850" s="106"/>
      <c r="K850" s="107"/>
      <c r="L850" s="149"/>
    </row>
    <row r="851" spans="1:12" x14ac:dyDescent="0.25">
      <c r="A851" s="476"/>
      <c r="B851" s="275" t="s">
        <v>504</v>
      </c>
      <c r="C851" s="276" t="s">
        <v>1964</v>
      </c>
      <c r="D851" s="276">
        <v>12</v>
      </c>
      <c r="E851" s="275">
        <v>58979488</v>
      </c>
      <c r="F851" s="275"/>
      <c r="G851" s="105" t="s">
        <v>1956</v>
      </c>
      <c r="H851" s="276">
        <v>12</v>
      </c>
      <c r="I851" s="275">
        <v>69514338</v>
      </c>
      <c r="J851" s="106"/>
      <c r="K851" s="107"/>
      <c r="L851" s="149"/>
    </row>
    <row r="852" spans="1:12" x14ac:dyDescent="0.25">
      <c r="A852" s="476"/>
      <c r="B852" s="275" t="s">
        <v>504</v>
      </c>
      <c r="C852" s="276" t="s">
        <v>1964</v>
      </c>
      <c r="D852" s="276">
        <v>12</v>
      </c>
      <c r="E852" s="275">
        <v>58981920</v>
      </c>
      <c r="F852" s="275"/>
      <c r="G852" s="105" t="s">
        <v>1956</v>
      </c>
      <c r="H852" s="276">
        <v>12</v>
      </c>
      <c r="I852" s="275">
        <v>71202551</v>
      </c>
      <c r="J852" s="106"/>
      <c r="K852" s="107"/>
      <c r="L852" s="149"/>
    </row>
    <row r="853" spans="1:12" x14ac:dyDescent="0.25">
      <c r="A853" s="476"/>
      <c r="B853" s="275" t="s">
        <v>504</v>
      </c>
      <c r="C853" s="276" t="s">
        <v>1954</v>
      </c>
      <c r="D853" s="276">
        <v>12</v>
      </c>
      <c r="E853" s="275">
        <v>58989827</v>
      </c>
      <c r="F853" s="275"/>
      <c r="G853" s="105" t="s">
        <v>1956</v>
      </c>
      <c r="H853" s="276">
        <v>12</v>
      </c>
      <c r="I853" s="275">
        <v>128605514</v>
      </c>
      <c r="J853" s="106"/>
      <c r="K853" s="107"/>
      <c r="L853" s="149"/>
    </row>
    <row r="854" spans="1:12" x14ac:dyDescent="0.25">
      <c r="A854" s="476"/>
      <c r="B854" s="275" t="s">
        <v>504</v>
      </c>
      <c r="C854" s="276" t="s">
        <v>1964</v>
      </c>
      <c r="D854" s="276">
        <v>12</v>
      </c>
      <c r="E854" s="275">
        <v>59002986</v>
      </c>
      <c r="F854" s="275"/>
      <c r="G854" s="105" t="s">
        <v>1956</v>
      </c>
      <c r="H854" s="276">
        <v>12</v>
      </c>
      <c r="I854" s="275">
        <v>59084467</v>
      </c>
      <c r="J854" s="106"/>
      <c r="K854" s="107"/>
      <c r="L854" s="149"/>
    </row>
    <row r="855" spans="1:12" x14ac:dyDescent="0.25">
      <c r="A855" s="476"/>
      <c r="B855" s="275" t="s">
        <v>504</v>
      </c>
      <c r="C855" s="276" t="s">
        <v>1954</v>
      </c>
      <c r="D855" s="276">
        <v>12</v>
      </c>
      <c r="E855" s="275">
        <v>59004721</v>
      </c>
      <c r="F855" s="275"/>
      <c r="G855" s="105" t="s">
        <v>1956</v>
      </c>
      <c r="H855" s="276">
        <v>12</v>
      </c>
      <c r="I855" s="275">
        <v>69496643</v>
      </c>
      <c r="J855" s="106"/>
      <c r="K855" s="107"/>
      <c r="L855" s="149"/>
    </row>
    <row r="856" spans="1:12" x14ac:dyDescent="0.25">
      <c r="A856" s="476"/>
      <c r="B856" s="275" t="s">
        <v>504</v>
      </c>
      <c r="C856" s="276" t="s">
        <v>1964</v>
      </c>
      <c r="D856" s="276">
        <v>12</v>
      </c>
      <c r="E856" s="275">
        <v>59005790</v>
      </c>
      <c r="F856" s="275"/>
      <c r="G856" s="105" t="s">
        <v>1956</v>
      </c>
      <c r="H856" s="276">
        <v>12</v>
      </c>
      <c r="I856" s="275">
        <v>128595056</v>
      </c>
      <c r="J856" s="106"/>
      <c r="K856" s="107"/>
      <c r="L856" s="149"/>
    </row>
    <row r="857" spans="1:12" x14ac:dyDescent="0.25">
      <c r="A857" s="476"/>
      <c r="B857" s="275" t="s">
        <v>504</v>
      </c>
      <c r="C857" s="276" t="s">
        <v>1964</v>
      </c>
      <c r="D857" s="276">
        <v>12</v>
      </c>
      <c r="E857" s="275">
        <v>59006581</v>
      </c>
      <c r="F857" s="275"/>
      <c r="G857" s="105" t="s">
        <v>1956</v>
      </c>
      <c r="H857" s="276">
        <v>12</v>
      </c>
      <c r="I857" s="275">
        <v>128398467</v>
      </c>
      <c r="J857" s="106"/>
      <c r="K857" s="107"/>
      <c r="L857" s="149"/>
    </row>
    <row r="858" spans="1:12" x14ac:dyDescent="0.25">
      <c r="A858" s="476"/>
      <c r="B858" s="275" t="s">
        <v>504</v>
      </c>
      <c r="C858" s="276" t="s">
        <v>1960</v>
      </c>
      <c r="D858" s="276">
        <v>12</v>
      </c>
      <c r="E858" s="275">
        <v>59009591</v>
      </c>
      <c r="F858" s="275"/>
      <c r="G858" s="105" t="s">
        <v>1956</v>
      </c>
      <c r="H858" s="276">
        <v>12</v>
      </c>
      <c r="I858" s="275">
        <v>128006894</v>
      </c>
      <c r="J858" s="106"/>
      <c r="K858" s="107"/>
      <c r="L858" s="149"/>
    </row>
    <row r="859" spans="1:12" x14ac:dyDescent="0.25">
      <c r="A859" s="476"/>
      <c r="B859" s="275" t="s">
        <v>504</v>
      </c>
      <c r="C859" s="276" t="s">
        <v>1960</v>
      </c>
      <c r="D859" s="276">
        <v>12</v>
      </c>
      <c r="E859" s="275">
        <v>59011175</v>
      </c>
      <c r="F859" s="275"/>
      <c r="G859" s="105" t="s">
        <v>1956</v>
      </c>
      <c r="H859" s="276">
        <v>12</v>
      </c>
      <c r="I859" s="275">
        <v>69566519</v>
      </c>
      <c r="J859" s="106"/>
      <c r="K859" s="107"/>
      <c r="L859" s="149"/>
    </row>
    <row r="860" spans="1:12" x14ac:dyDescent="0.25">
      <c r="A860" s="476"/>
      <c r="B860" s="275" t="s">
        <v>504</v>
      </c>
      <c r="C860" s="276" t="s">
        <v>1954</v>
      </c>
      <c r="D860" s="276">
        <v>12</v>
      </c>
      <c r="E860" s="275">
        <v>59012667</v>
      </c>
      <c r="F860" s="275"/>
      <c r="G860" s="105" t="s">
        <v>1956</v>
      </c>
      <c r="H860" s="276">
        <v>12</v>
      </c>
      <c r="I860" s="275">
        <v>69290623</v>
      </c>
      <c r="J860" s="106"/>
      <c r="K860" s="107"/>
      <c r="L860" s="149"/>
    </row>
    <row r="861" spans="1:12" x14ac:dyDescent="0.25">
      <c r="A861" s="476"/>
      <c r="B861" s="275" t="s">
        <v>504</v>
      </c>
      <c r="C861" s="276" t="s">
        <v>1960</v>
      </c>
      <c r="D861" s="276">
        <v>12</v>
      </c>
      <c r="E861" s="275">
        <v>59013036</v>
      </c>
      <c r="F861" s="275"/>
      <c r="G861" s="105" t="s">
        <v>1956</v>
      </c>
      <c r="H861" s="276">
        <v>12</v>
      </c>
      <c r="I861" s="275">
        <v>59248580</v>
      </c>
      <c r="J861" s="106"/>
      <c r="K861" s="107"/>
      <c r="L861" s="149"/>
    </row>
    <row r="862" spans="1:12" x14ac:dyDescent="0.25">
      <c r="A862" s="476"/>
      <c r="B862" s="275" t="s">
        <v>504</v>
      </c>
      <c r="C862" s="276" t="s">
        <v>1964</v>
      </c>
      <c r="D862" s="276">
        <v>12</v>
      </c>
      <c r="E862" s="275">
        <v>59016729</v>
      </c>
      <c r="F862" s="275"/>
      <c r="G862" s="105" t="s">
        <v>1956</v>
      </c>
      <c r="H862" s="276">
        <v>12</v>
      </c>
      <c r="I862" s="275">
        <v>128262728</v>
      </c>
      <c r="J862" s="106"/>
      <c r="K862" s="107"/>
      <c r="L862" s="149"/>
    </row>
    <row r="863" spans="1:12" x14ac:dyDescent="0.25">
      <c r="A863" s="476"/>
      <c r="B863" s="275" t="s">
        <v>504</v>
      </c>
      <c r="C863" s="276" t="s">
        <v>1964</v>
      </c>
      <c r="D863" s="276">
        <v>12</v>
      </c>
      <c r="E863" s="275">
        <v>59016961</v>
      </c>
      <c r="F863" s="275"/>
      <c r="G863" s="105" t="s">
        <v>1956</v>
      </c>
      <c r="H863" s="276">
        <v>12</v>
      </c>
      <c r="I863" s="275">
        <v>69337733</v>
      </c>
      <c r="J863" s="106"/>
      <c r="K863" s="107"/>
      <c r="L863" s="149"/>
    </row>
    <row r="864" spans="1:12" x14ac:dyDescent="0.25">
      <c r="A864" s="476"/>
      <c r="B864" s="275" t="s">
        <v>504</v>
      </c>
      <c r="C864" s="276" t="s">
        <v>1964</v>
      </c>
      <c r="D864" s="276">
        <v>12</v>
      </c>
      <c r="E864" s="275">
        <v>59022173</v>
      </c>
      <c r="F864" s="275"/>
      <c r="G864" s="105" t="s">
        <v>1956</v>
      </c>
      <c r="H864" s="276">
        <v>12</v>
      </c>
      <c r="I864" s="275">
        <v>59132937</v>
      </c>
      <c r="J864" s="106"/>
      <c r="K864" s="107"/>
      <c r="L864" s="149"/>
    </row>
    <row r="865" spans="1:12" x14ac:dyDescent="0.25">
      <c r="A865" s="476"/>
      <c r="B865" s="275" t="s">
        <v>504</v>
      </c>
      <c r="C865" s="276" t="s">
        <v>1964</v>
      </c>
      <c r="D865" s="276">
        <v>12</v>
      </c>
      <c r="E865" s="275">
        <v>59025602</v>
      </c>
      <c r="F865" s="275"/>
      <c r="G865" s="105" t="s">
        <v>1956</v>
      </c>
      <c r="H865" s="276">
        <v>12</v>
      </c>
      <c r="I865" s="275">
        <v>71274508</v>
      </c>
      <c r="J865" s="106"/>
      <c r="K865" s="107"/>
      <c r="L865" s="149"/>
    </row>
    <row r="866" spans="1:12" x14ac:dyDescent="0.25">
      <c r="A866" s="476"/>
      <c r="B866" s="275" t="s">
        <v>504</v>
      </c>
      <c r="C866" s="276" t="s">
        <v>1964</v>
      </c>
      <c r="D866" s="276">
        <v>12</v>
      </c>
      <c r="E866" s="275">
        <v>59026073</v>
      </c>
      <c r="F866" s="275"/>
      <c r="G866" s="105" t="s">
        <v>1956</v>
      </c>
      <c r="H866" s="276">
        <v>12</v>
      </c>
      <c r="I866" s="275">
        <v>128609611</v>
      </c>
      <c r="J866" s="106"/>
      <c r="K866" s="107"/>
      <c r="L866" s="149"/>
    </row>
    <row r="867" spans="1:12" x14ac:dyDescent="0.25">
      <c r="A867" s="476"/>
      <c r="B867" s="275" t="s">
        <v>504</v>
      </c>
      <c r="C867" s="276" t="s">
        <v>1960</v>
      </c>
      <c r="D867" s="276">
        <v>12</v>
      </c>
      <c r="E867" s="275">
        <v>59042391</v>
      </c>
      <c r="F867" s="275"/>
      <c r="G867" s="105" t="s">
        <v>1956</v>
      </c>
      <c r="H867" s="276">
        <v>12</v>
      </c>
      <c r="I867" s="275">
        <v>69926169</v>
      </c>
      <c r="J867" s="106"/>
      <c r="K867" s="107"/>
      <c r="L867" s="149"/>
    </row>
    <row r="868" spans="1:12" x14ac:dyDescent="0.25">
      <c r="A868" s="476"/>
      <c r="B868" s="275" t="s">
        <v>504</v>
      </c>
      <c r="C868" s="276" t="s">
        <v>1964</v>
      </c>
      <c r="D868" s="276">
        <v>12</v>
      </c>
      <c r="E868" s="275">
        <v>59046574</v>
      </c>
      <c r="F868" s="275"/>
      <c r="G868" s="105" t="s">
        <v>1956</v>
      </c>
      <c r="H868" s="276">
        <v>12</v>
      </c>
      <c r="I868" s="275">
        <v>71243327</v>
      </c>
      <c r="J868" s="106"/>
      <c r="K868" s="107"/>
      <c r="L868" s="149"/>
    </row>
    <row r="869" spans="1:12" x14ac:dyDescent="0.25">
      <c r="A869" s="476"/>
      <c r="B869" s="275" t="s">
        <v>504</v>
      </c>
      <c r="C869" s="276" t="s">
        <v>1964</v>
      </c>
      <c r="D869" s="276">
        <v>12</v>
      </c>
      <c r="E869" s="275">
        <v>59047671</v>
      </c>
      <c r="F869" s="275"/>
      <c r="G869" s="105" t="s">
        <v>1956</v>
      </c>
      <c r="H869" s="276">
        <v>12</v>
      </c>
      <c r="I869" s="275">
        <v>69243287</v>
      </c>
      <c r="J869" s="106"/>
      <c r="K869" s="107"/>
      <c r="L869" s="149"/>
    </row>
    <row r="870" spans="1:12" x14ac:dyDescent="0.25">
      <c r="A870" s="476"/>
      <c r="B870" s="275" t="s">
        <v>504</v>
      </c>
      <c r="C870" s="276" t="s">
        <v>1964</v>
      </c>
      <c r="D870" s="276">
        <v>12</v>
      </c>
      <c r="E870" s="275">
        <v>59051074</v>
      </c>
      <c r="F870" s="275"/>
      <c r="G870" s="105" t="s">
        <v>1956</v>
      </c>
      <c r="H870" s="276">
        <v>12</v>
      </c>
      <c r="I870" s="275">
        <v>69115224</v>
      </c>
      <c r="J870" s="106"/>
      <c r="K870" s="107"/>
      <c r="L870" s="149"/>
    </row>
    <row r="871" spans="1:12" x14ac:dyDescent="0.25">
      <c r="A871" s="476"/>
      <c r="B871" s="275" t="s">
        <v>504</v>
      </c>
      <c r="C871" s="276" t="s">
        <v>1960</v>
      </c>
      <c r="D871" s="276">
        <v>12</v>
      </c>
      <c r="E871" s="275">
        <v>59053184</v>
      </c>
      <c r="F871" s="275"/>
      <c r="G871" s="105" t="s">
        <v>1956</v>
      </c>
      <c r="H871" s="276">
        <v>12</v>
      </c>
      <c r="I871" s="275">
        <v>69953052</v>
      </c>
      <c r="J871" s="106"/>
      <c r="K871" s="107"/>
      <c r="L871" s="149"/>
    </row>
    <row r="872" spans="1:12" x14ac:dyDescent="0.25">
      <c r="A872" s="476"/>
      <c r="B872" s="275" t="s">
        <v>504</v>
      </c>
      <c r="C872" s="276" t="s">
        <v>1954</v>
      </c>
      <c r="D872" s="276">
        <v>12</v>
      </c>
      <c r="E872" s="275">
        <v>59060915</v>
      </c>
      <c r="F872" s="275"/>
      <c r="G872" s="105" t="s">
        <v>1956</v>
      </c>
      <c r="H872" s="276">
        <v>12</v>
      </c>
      <c r="I872" s="275">
        <v>128542331</v>
      </c>
      <c r="J872" s="106"/>
      <c r="K872" s="107"/>
      <c r="L872" s="149"/>
    </row>
    <row r="873" spans="1:12" x14ac:dyDescent="0.25">
      <c r="A873" s="476"/>
      <c r="B873" s="275" t="s">
        <v>504</v>
      </c>
      <c r="C873" s="276" t="s">
        <v>1964</v>
      </c>
      <c r="D873" s="276">
        <v>12</v>
      </c>
      <c r="E873" s="275">
        <v>59061213</v>
      </c>
      <c r="F873" s="275"/>
      <c r="G873" s="105" t="s">
        <v>1956</v>
      </c>
      <c r="H873" s="276">
        <v>12</v>
      </c>
      <c r="I873" s="275">
        <v>128538026</v>
      </c>
      <c r="J873" s="106"/>
      <c r="K873" s="107"/>
      <c r="L873" s="149"/>
    </row>
    <row r="874" spans="1:12" x14ac:dyDescent="0.25">
      <c r="A874" s="476"/>
      <c r="B874" s="275" t="s">
        <v>504</v>
      </c>
      <c r="C874" s="276" t="s">
        <v>1964</v>
      </c>
      <c r="D874" s="276">
        <v>12</v>
      </c>
      <c r="E874" s="275">
        <v>59080493</v>
      </c>
      <c r="F874" s="275"/>
      <c r="G874" s="105" t="s">
        <v>1956</v>
      </c>
      <c r="H874" s="276">
        <v>12</v>
      </c>
      <c r="I874" s="275">
        <v>69330945</v>
      </c>
      <c r="J874" s="106"/>
      <c r="K874" s="107"/>
      <c r="L874" s="149"/>
    </row>
    <row r="875" spans="1:12" x14ac:dyDescent="0.25">
      <c r="A875" s="476"/>
      <c r="B875" s="275" t="s">
        <v>504</v>
      </c>
      <c r="C875" s="276" t="s">
        <v>1960</v>
      </c>
      <c r="D875" s="276">
        <v>12</v>
      </c>
      <c r="E875" s="275">
        <v>59085649</v>
      </c>
      <c r="F875" s="275"/>
      <c r="G875" s="105" t="s">
        <v>1956</v>
      </c>
      <c r="H875" s="276">
        <v>12</v>
      </c>
      <c r="I875" s="275">
        <v>69096417</v>
      </c>
      <c r="J875" s="106"/>
      <c r="K875" s="107"/>
      <c r="L875" s="149"/>
    </row>
    <row r="876" spans="1:12" x14ac:dyDescent="0.25">
      <c r="A876" s="476"/>
      <c r="B876" s="275" t="s">
        <v>504</v>
      </c>
      <c r="C876" s="276" t="s">
        <v>1954</v>
      </c>
      <c r="D876" s="276">
        <v>12</v>
      </c>
      <c r="E876" s="275">
        <v>59087726</v>
      </c>
      <c r="F876" s="275"/>
      <c r="G876" s="105" t="s">
        <v>1956</v>
      </c>
      <c r="H876" s="276">
        <v>12</v>
      </c>
      <c r="I876" s="275">
        <v>69672011</v>
      </c>
      <c r="J876" s="106"/>
      <c r="K876" s="107"/>
      <c r="L876" s="149"/>
    </row>
    <row r="877" spans="1:12" x14ac:dyDescent="0.25">
      <c r="A877" s="476"/>
      <c r="B877" s="275" t="s">
        <v>504</v>
      </c>
      <c r="C877" s="276" t="s">
        <v>1960</v>
      </c>
      <c r="D877" s="276">
        <v>12</v>
      </c>
      <c r="E877" s="275">
        <v>59089670</v>
      </c>
      <c r="F877" s="275"/>
      <c r="G877" s="105" t="s">
        <v>1956</v>
      </c>
      <c r="H877" s="276">
        <v>12</v>
      </c>
      <c r="I877" s="275">
        <v>70113091</v>
      </c>
      <c r="J877" s="106"/>
      <c r="K877" s="107"/>
      <c r="L877" s="149"/>
    </row>
    <row r="878" spans="1:12" x14ac:dyDescent="0.25">
      <c r="A878" s="476"/>
      <c r="B878" s="275" t="s">
        <v>504</v>
      </c>
      <c r="C878" s="276" t="s">
        <v>1964</v>
      </c>
      <c r="D878" s="276">
        <v>12</v>
      </c>
      <c r="E878" s="275">
        <v>59094806</v>
      </c>
      <c r="F878" s="275"/>
      <c r="G878" s="105" t="s">
        <v>1956</v>
      </c>
      <c r="H878" s="276">
        <v>12</v>
      </c>
      <c r="I878" s="275">
        <v>70418238</v>
      </c>
      <c r="J878" s="106"/>
      <c r="K878" s="107"/>
      <c r="L878" s="149"/>
    </row>
    <row r="879" spans="1:12" x14ac:dyDescent="0.25">
      <c r="A879" s="476"/>
      <c r="B879" s="275" t="s">
        <v>504</v>
      </c>
      <c r="C879" s="276" t="s">
        <v>1960</v>
      </c>
      <c r="D879" s="276">
        <v>12</v>
      </c>
      <c r="E879" s="275">
        <v>59103194</v>
      </c>
      <c r="F879" s="275"/>
      <c r="G879" s="105" t="s">
        <v>1956</v>
      </c>
      <c r="H879" s="276">
        <v>12</v>
      </c>
      <c r="I879" s="275">
        <v>128047032</v>
      </c>
      <c r="J879" s="106"/>
      <c r="K879" s="107"/>
      <c r="L879" s="149"/>
    </row>
    <row r="880" spans="1:12" x14ac:dyDescent="0.25">
      <c r="A880" s="476"/>
      <c r="B880" s="275" t="s">
        <v>504</v>
      </c>
      <c r="C880" s="276" t="s">
        <v>1954</v>
      </c>
      <c r="D880" s="276">
        <v>12</v>
      </c>
      <c r="E880" s="275">
        <v>59104620</v>
      </c>
      <c r="F880" s="275"/>
      <c r="G880" s="105" t="s">
        <v>1956</v>
      </c>
      <c r="H880" s="276">
        <v>12</v>
      </c>
      <c r="I880" s="275">
        <v>69304480</v>
      </c>
      <c r="J880" s="106"/>
      <c r="K880" s="107"/>
      <c r="L880" s="149"/>
    </row>
    <row r="881" spans="1:12" x14ac:dyDescent="0.25">
      <c r="A881" s="476"/>
      <c r="B881" s="275" t="s">
        <v>504</v>
      </c>
      <c r="C881" s="276" t="s">
        <v>1954</v>
      </c>
      <c r="D881" s="276">
        <v>12</v>
      </c>
      <c r="E881" s="275">
        <v>59122442</v>
      </c>
      <c r="F881" s="275"/>
      <c r="G881" s="105" t="s">
        <v>1956</v>
      </c>
      <c r="H881" s="276">
        <v>12</v>
      </c>
      <c r="I881" s="275">
        <v>69977336</v>
      </c>
      <c r="J881" s="106"/>
      <c r="K881" s="107"/>
      <c r="L881" s="149"/>
    </row>
    <row r="882" spans="1:12" x14ac:dyDescent="0.25">
      <c r="A882" s="476"/>
      <c r="B882" s="275" t="s">
        <v>504</v>
      </c>
      <c r="C882" s="276" t="s">
        <v>1964</v>
      </c>
      <c r="D882" s="276">
        <v>12</v>
      </c>
      <c r="E882" s="275">
        <v>59132718</v>
      </c>
      <c r="F882" s="275"/>
      <c r="G882" s="105" t="s">
        <v>1956</v>
      </c>
      <c r="H882" s="276">
        <v>12</v>
      </c>
      <c r="I882" s="275">
        <v>70308032</v>
      </c>
      <c r="J882" s="106"/>
      <c r="K882" s="107"/>
      <c r="L882" s="149"/>
    </row>
    <row r="883" spans="1:12" x14ac:dyDescent="0.25">
      <c r="A883" s="476"/>
      <c r="B883" s="275" t="s">
        <v>504</v>
      </c>
      <c r="C883" s="276" t="s">
        <v>1960</v>
      </c>
      <c r="D883" s="276">
        <v>12</v>
      </c>
      <c r="E883" s="275">
        <v>59135590</v>
      </c>
      <c r="F883" s="275"/>
      <c r="G883" s="105" t="s">
        <v>1956</v>
      </c>
      <c r="H883" s="276">
        <v>12</v>
      </c>
      <c r="I883" s="275">
        <v>69596352</v>
      </c>
      <c r="J883" s="106"/>
      <c r="K883" s="107"/>
      <c r="L883" s="149"/>
    </row>
    <row r="884" spans="1:12" x14ac:dyDescent="0.25">
      <c r="A884" s="476"/>
      <c r="B884" s="275" t="s">
        <v>504</v>
      </c>
      <c r="C884" s="276" t="s">
        <v>1964</v>
      </c>
      <c r="D884" s="276">
        <v>12</v>
      </c>
      <c r="E884" s="275">
        <v>59136347</v>
      </c>
      <c r="F884" s="275"/>
      <c r="G884" s="105" t="s">
        <v>1956</v>
      </c>
      <c r="H884" s="276">
        <v>12</v>
      </c>
      <c r="I884" s="275">
        <v>128397120</v>
      </c>
      <c r="J884" s="106"/>
      <c r="K884" s="107"/>
      <c r="L884" s="149"/>
    </row>
    <row r="885" spans="1:12" x14ac:dyDescent="0.25">
      <c r="A885" s="476"/>
      <c r="B885" s="275" t="s">
        <v>504</v>
      </c>
      <c r="C885" s="276" t="s">
        <v>1964</v>
      </c>
      <c r="D885" s="276">
        <v>12</v>
      </c>
      <c r="E885" s="275">
        <v>59138282</v>
      </c>
      <c r="F885" s="275"/>
      <c r="G885" s="105" t="s">
        <v>1956</v>
      </c>
      <c r="H885" s="276">
        <v>12</v>
      </c>
      <c r="I885" s="275">
        <v>69865500</v>
      </c>
      <c r="J885" s="106"/>
      <c r="K885" s="107"/>
      <c r="L885" s="149"/>
    </row>
    <row r="886" spans="1:12" x14ac:dyDescent="0.25">
      <c r="A886" s="476"/>
      <c r="B886" s="275" t="s">
        <v>504</v>
      </c>
      <c r="C886" s="276" t="s">
        <v>1964</v>
      </c>
      <c r="D886" s="276">
        <v>12</v>
      </c>
      <c r="E886" s="275">
        <v>59144053</v>
      </c>
      <c r="F886" s="275"/>
      <c r="G886" s="105" t="s">
        <v>1956</v>
      </c>
      <c r="H886" s="276">
        <v>12</v>
      </c>
      <c r="I886" s="275">
        <v>128285316</v>
      </c>
      <c r="J886" s="106"/>
      <c r="K886" s="107"/>
      <c r="L886" s="149"/>
    </row>
    <row r="887" spans="1:12" x14ac:dyDescent="0.25">
      <c r="A887" s="476"/>
      <c r="B887" s="275" t="s">
        <v>504</v>
      </c>
      <c r="C887" s="276" t="s">
        <v>1954</v>
      </c>
      <c r="D887" s="276">
        <v>12</v>
      </c>
      <c r="E887" s="275">
        <v>59144907</v>
      </c>
      <c r="F887" s="275"/>
      <c r="G887" s="105" t="s">
        <v>1956</v>
      </c>
      <c r="H887" s="276">
        <v>12</v>
      </c>
      <c r="I887" s="275">
        <v>69360097</v>
      </c>
      <c r="J887" s="106"/>
      <c r="K887" s="107"/>
      <c r="L887" s="149"/>
    </row>
    <row r="888" spans="1:12" x14ac:dyDescent="0.25">
      <c r="A888" s="476"/>
      <c r="B888" s="275" t="s">
        <v>504</v>
      </c>
      <c r="C888" s="276" t="s">
        <v>1964</v>
      </c>
      <c r="D888" s="276">
        <v>12</v>
      </c>
      <c r="E888" s="275">
        <v>59146169</v>
      </c>
      <c r="F888" s="275"/>
      <c r="G888" s="105" t="s">
        <v>1956</v>
      </c>
      <c r="H888" s="276">
        <v>12</v>
      </c>
      <c r="I888" s="275">
        <v>128362832</v>
      </c>
      <c r="J888" s="106"/>
      <c r="K888" s="107"/>
      <c r="L888" s="149"/>
    </row>
    <row r="889" spans="1:12" x14ac:dyDescent="0.25">
      <c r="A889" s="476"/>
      <c r="B889" s="275" t="s">
        <v>504</v>
      </c>
      <c r="C889" s="276" t="s">
        <v>1960</v>
      </c>
      <c r="D889" s="276">
        <v>12</v>
      </c>
      <c r="E889" s="275">
        <v>59146388</v>
      </c>
      <c r="F889" s="275"/>
      <c r="G889" s="105" t="s">
        <v>1956</v>
      </c>
      <c r="H889" s="276">
        <v>12</v>
      </c>
      <c r="I889" s="275">
        <v>128300588</v>
      </c>
      <c r="J889" s="106"/>
      <c r="K889" s="107"/>
      <c r="L889" s="149"/>
    </row>
    <row r="890" spans="1:12" x14ac:dyDescent="0.25">
      <c r="A890" s="476"/>
      <c r="B890" s="275" t="s">
        <v>504</v>
      </c>
      <c r="C890" s="276" t="s">
        <v>1964</v>
      </c>
      <c r="D890" s="276">
        <v>12</v>
      </c>
      <c r="E890" s="275">
        <v>59164887</v>
      </c>
      <c r="F890" s="275"/>
      <c r="G890" s="105" t="s">
        <v>1956</v>
      </c>
      <c r="H890" s="276">
        <v>12</v>
      </c>
      <c r="I890" s="275">
        <v>69145468</v>
      </c>
      <c r="J890" s="106"/>
      <c r="K890" s="107"/>
      <c r="L890" s="149"/>
    </row>
    <row r="891" spans="1:12" x14ac:dyDescent="0.25">
      <c r="A891" s="476"/>
      <c r="B891" s="275" t="s">
        <v>504</v>
      </c>
      <c r="C891" s="276" t="s">
        <v>1960</v>
      </c>
      <c r="D891" s="276">
        <v>12</v>
      </c>
      <c r="E891" s="275">
        <v>59166336</v>
      </c>
      <c r="F891" s="275"/>
      <c r="G891" s="105" t="s">
        <v>1956</v>
      </c>
      <c r="H891" s="276">
        <v>12</v>
      </c>
      <c r="I891" s="275">
        <v>70024915</v>
      </c>
      <c r="J891" s="106"/>
      <c r="K891" s="107"/>
      <c r="L891" s="149"/>
    </row>
    <row r="892" spans="1:12" x14ac:dyDescent="0.25">
      <c r="A892" s="476"/>
      <c r="B892" s="275" t="s">
        <v>504</v>
      </c>
      <c r="C892" s="276" t="s">
        <v>1960</v>
      </c>
      <c r="D892" s="276">
        <v>12</v>
      </c>
      <c r="E892" s="275">
        <v>59169195</v>
      </c>
      <c r="F892" s="275"/>
      <c r="G892" s="105" t="s">
        <v>1956</v>
      </c>
      <c r="H892" s="276">
        <v>12</v>
      </c>
      <c r="I892" s="275">
        <v>70075788</v>
      </c>
      <c r="J892" s="106"/>
      <c r="K892" s="107"/>
      <c r="L892" s="149"/>
    </row>
    <row r="893" spans="1:12" x14ac:dyDescent="0.25">
      <c r="A893" s="476"/>
      <c r="B893" s="275" t="s">
        <v>504</v>
      </c>
      <c r="C893" s="276" t="s">
        <v>1960</v>
      </c>
      <c r="D893" s="276">
        <v>12</v>
      </c>
      <c r="E893" s="275">
        <v>59175623</v>
      </c>
      <c r="F893" s="275"/>
      <c r="G893" s="105" t="s">
        <v>1956</v>
      </c>
      <c r="H893" s="276">
        <v>12</v>
      </c>
      <c r="I893" s="275">
        <v>70951174</v>
      </c>
      <c r="J893" s="106"/>
      <c r="K893" s="107"/>
      <c r="L893" s="149"/>
    </row>
    <row r="894" spans="1:12" x14ac:dyDescent="0.25">
      <c r="A894" s="476"/>
      <c r="B894" s="275" t="s">
        <v>504</v>
      </c>
      <c r="C894" s="276" t="s">
        <v>1964</v>
      </c>
      <c r="D894" s="276">
        <v>12</v>
      </c>
      <c r="E894" s="275">
        <v>59177283</v>
      </c>
      <c r="F894" s="275"/>
      <c r="G894" s="105" t="s">
        <v>1956</v>
      </c>
      <c r="H894" s="276">
        <v>12</v>
      </c>
      <c r="I894" s="275">
        <v>69044723</v>
      </c>
      <c r="J894" s="106"/>
      <c r="K894" s="107"/>
      <c r="L894" s="149"/>
    </row>
    <row r="895" spans="1:12" x14ac:dyDescent="0.25">
      <c r="A895" s="476"/>
      <c r="B895" s="275" t="s">
        <v>504</v>
      </c>
      <c r="C895" s="276" t="s">
        <v>1954</v>
      </c>
      <c r="D895" s="276">
        <v>12</v>
      </c>
      <c r="E895" s="275">
        <v>59179312</v>
      </c>
      <c r="F895" s="275"/>
      <c r="G895" s="105" t="s">
        <v>1956</v>
      </c>
      <c r="H895" s="276">
        <v>12</v>
      </c>
      <c r="I895" s="275">
        <v>69135268</v>
      </c>
      <c r="J895" s="106"/>
      <c r="K895" s="107"/>
      <c r="L895" s="149"/>
    </row>
    <row r="896" spans="1:12" x14ac:dyDescent="0.25">
      <c r="A896" s="476"/>
      <c r="B896" s="275" t="s">
        <v>504</v>
      </c>
      <c r="C896" s="276" t="s">
        <v>1964</v>
      </c>
      <c r="D896" s="276">
        <v>12</v>
      </c>
      <c r="E896" s="275">
        <v>59182749</v>
      </c>
      <c r="F896" s="275"/>
      <c r="G896" s="105" t="s">
        <v>1956</v>
      </c>
      <c r="H896" s="276">
        <v>12</v>
      </c>
      <c r="I896" s="275">
        <v>128515456</v>
      </c>
      <c r="J896" s="106"/>
      <c r="K896" s="107"/>
      <c r="L896" s="149"/>
    </row>
    <row r="897" spans="1:12" x14ac:dyDescent="0.25">
      <c r="A897" s="476"/>
      <c r="B897" s="275" t="s">
        <v>504</v>
      </c>
      <c r="C897" s="276" t="s">
        <v>1954</v>
      </c>
      <c r="D897" s="276">
        <v>12</v>
      </c>
      <c r="E897" s="275">
        <v>59199296</v>
      </c>
      <c r="F897" s="275"/>
      <c r="G897" s="105" t="s">
        <v>1956</v>
      </c>
      <c r="H897" s="276">
        <v>12</v>
      </c>
      <c r="I897" s="275">
        <v>70028824</v>
      </c>
      <c r="J897" s="106"/>
      <c r="K897" s="107"/>
      <c r="L897" s="149"/>
    </row>
    <row r="898" spans="1:12" x14ac:dyDescent="0.25">
      <c r="A898" s="476"/>
      <c r="B898" s="275" t="s">
        <v>504</v>
      </c>
      <c r="C898" s="276" t="s">
        <v>1960</v>
      </c>
      <c r="D898" s="276">
        <v>12</v>
      </c>
      <c r="E898" s="275">
        <v>59207148</v>
      </c>
      <c r="F898" s="275"/>
      <c r="G898" s="105" t="s">
        <v>1956</v>
      </c>
      <c r="H898" s="276">
        <v>12</v>
      </c>
      <c r="I898" s="275">
        <v>69057895</v>
      </c>
      <c r="J898" s="106"/>
      <c r="K898" s="107"/>
      <c r="L898" s="149"/>
    </row>
    <row r="899" spans="1:12" x14ac:dyDescent="0.25">
      <c r="A899" s="476"/>
      <c r="B899" s="275" t="s">
        <v>504</v>
      </c>
      <c r="C899" s="276" t="s">
        <v>1964</v>
      </c>
      <c r="D899" s="276">
        <v>12</v>
      </c>
      <c r="E899" s="275">
        <v>59213387</v>
      </c>
      <c r="F899" s="275"/>
      <c r="G899" s="105" t="s">
        <v>1956</v>
      </c>
      <c r="H899" s="276">
        <v>12</v>
      </c>
      <c r="I899" s="275">
        <v>69264521</v>
      </c>
      <c r="J899" s="106"/>
      <c r="K899" s="107"/>
      <c r="L899" s="149"/>
    </row>
    <row r="900" spans="1:12" x14ac:dyDescent="0.25">
      <c r="A900" s="476"/>
      <c r="B900" s="275" t="s">
        <v>504</v>
      </c>
      <c r="C900" s="276" t="s">
        <v>1964</v>
      </c>
      <c r="D900" s="276">
        <v>12</v>
      </c>
      <c r="E900" s="275">
        <v>59215614</v>
      </c>
      <c r="F900" s="275"/>
      <c r="G900" s="105" t="s">
        <v>1956</v>
      </c>
      <c r="H900" s="276">
        <v>12</v>
      </c>
      <c r="I900" s="275">
        <v>70305282</v>
      </c>
      <c r="J900" s="106"/>
      <c r="K900" s="107"/>
      <c r="L900" s="149"/>
    </row>
    <row r="901" spans="1:12" x14ac:dyDescent="0.25">
      <c r="A901" s="476"/>
      <c r="B901" s="275" t="s">
        <v>504</v>
      </c>
      <c r="C901" s="276" t="s">
        <v>1954</v>
      </c>
      <c r="D901" s="276">
        <v>12</v>
      </c>
      <c r="E901" s="275">
        <v>59220762</v>
      </c>
      <c r="F901" s="275"/>
      <c r="G901" s="105" t="s">
        <v>1956</v>
      </c>
      <c r="H901" s="276">
        <v>12</v>
      </c>
      <c r="I901" s="275">
        <v>128178219</v>
      </c>
      <c r="J901" s="106"/>
      <c r="K901" s="107"/>
      <c r="L901" s="149"/>
    </row>
    <row r="902" spans="1:12" x14ac:dyDescent="0.25">
      <c r="A902" s="476"/>
      <c r="B902" s="275" t="s">
        <v>504</v>
      </c>
      <c r="C902" s="276" t="s">
        <v>1960</v>
      </c>
      <c r="D902" s="276">
        <v>12</v>
      </c>
      <c r="E902" s="275">
        <v>59224049</v>
      </c>
      <c r="F902" s="275"/>
      <c r="G902" s="105" t="s">
        <v>1956</v>
      </c>
      <c r="H902" s="276">
        <v>12</v>
      </c>
      <c r="I902" s="275">
        <v>128511639</v>
      </c>
      <c r="J902" s="106"/>
      <c r="K902" s="107"/>
      <c r="L902" s="149"/>
    </row>
    <row r="903" spans="1:12" x14ac:dyDescent="0.25">
      <c r="A903" s="476"/>
      <c r="B903" s="275" t="s">
        <v>504</v>
      </c>
      <c r="C903" s="276" t="s">
        <v>1964</v>
      </c>
      <c r="D903" s="276">
        <v>12</v>
      </c>
      <c r="E903" s="275">
        <v>59224725</v>
      </c>
      <c r="F903" s="275"/>
      <c r="G903" s="105" t="s">
        <v>1956</v>
      </c>
      <c r="H903" s="276">
        <v>12</v>
      </c>
      <c r="I903" s="275">
        <v>69115289</v>
      </c>
      <c r="J903" s="106"/>
      <c r="K903" s="107"/>
      <c r="L903" s="149"/>
    </row>
    <row r="904" spans="1:12" x14ac:dyDescent="0.25">
      <c r="A904" s="476"/>
      <c r="B904" s="275" t="s">
        <v>504</v>
      </c>
      <c r="C904" s="276" t="s">
        <v>1960</v>
      </c>
      <c r="D904" s="276">
        <v>12</v>
      </c>
      <c r="E904" s="275">
        <v>59230302</v>
      </c>
      <c r="F904" s="275"/>
      <c r="G904" s="105" t="s">
        <v>1956</v>
      </c>
      <c r="H904" s="276">
        <v>12</v>
      </c>
      <c r="I904" s="275">
        <v>128146136</v>
      </c>
      <c r="J904" s="106"/>
      <c r="K904" s="107"/>
      <c r="L904" s="149"/>
    </row>
    <row r="905" spans="1:12" x14ac:dyDescent="0.25">
      <c r="A905" s="476"/>
      <c r="B905" s="275" t="s">
        <v>504</v>
      </c>
      <c r="C905" s="276" t="s">
        <v>1964</v>
      </c>
      <c r="D905" s="276">
        <v>12</v>
      </c>
      <c r="E905" s="275">
        <v>59231955</v>
      </c>
      <c r="F905" s="275"/>
      <c r="G905" s="105" t="s">
        <v>1956</v>
      </c>
      <c r="H905" s="276">
        <v>12</v>
      </c>
      <c r="I905" s="275">
        <v>70404013</v>
      </c>
      <c r="J905" s="106"/>
      <c r="K905" s="107"/>
      <c r="L905" s="149"/>
    </row>
    <row r="906" spans="1:12" x14ac:dyDescent="0.25">
      <c r="A906" s="476"/>
      <c r="B906" s="275" t="s">
        <v>504</v>
      </c>
      <c r="C906" s="276" t="s">
        <v>1960</v>
      </c>
      <c r="D906" s="276">
        <v>12</v>
      </c>
      <c r="E906" s="275">
        <v>59238541</v>
      </c>
      <c r="F906" s="275"/>
      <c r="G906" s="105" t="s">
        <v>1956</v>
      </c>
      <c r="H906" s="276">
        <v>12</v>
      </c>
      <c r="I906" s="275">
        <v>128773688</v>
      </c>
      <c r="J906" s="106"/>
      <c r="K906" s="107"/>
      <c r="L906" s="149"/>
    </row>
    <row r="907" spans="1:12" x14ac:dyDescent="0.25">
      <c r="A907" s="476"/>
      <c r="B907" s="275" t="s">
        <v>504</v>
      </c>
      <c r="C907" s="276" t="s">
        <v>1964</v>
      </c>
      <c r="D907" s="276">
        <v>12</v>
      </c>
      <c r="E907" s="275">
        <v>59239732</v>
      </c>
      <c r="F907" s="275"/>
      <c r="G907" s="105" t="s">
        <v>1956</v>
      </c>
      <c r="H907" s="276">
        <v>12</v>
      </c>
      <c r="I907" s="275">
        <v>70258779</v>
      </c>
      <c r="J907" s="106"/>
      <c r="K907" s="107"/>
      <c r="L907" s="149"/>
    </row>
    <row r="908" spans="1:12" x14ac:dyDescent="0.25">
      <c r="A908" s="476"/>
      <c r="B908" s="275" t="s">
        <v>504</v>
      </c>
      <c r="C908" s="276" t="s">
        <v>1960</v>
      </c>
      <c r="D908" s="276">
        <v>12</v>
      </c>
      <c r="E908" s="275">
        <v>59245855</v>
      </c>
      <c r="F908" s="275"/>
      <c r="G908" s="105" t="s">
        <v>1956</v>
      </c>
      <c r="H908" s="276">
        <v>12</v>
      </c>
      <c r="I908" s="275">
        <v>69103183</v>
      </c>
      <c r="J908" s="106"/>
      <c r="K908" s="107"/>
      <c r="L908" s="149"/>
    </row>
    <row r="909" spans="1:12" x14ac:dyDescent="0.25">
      <c r="A909" s="476"/>
      <c r="B909" s="275" t="s">
        <v>504</v>
      </c>
      <c r="C909" s="276" t="s">
        <v>1964</v>
      </c>
      <c r="D909" s="276">
        <v>12</v>
      </c>
      <c r="E909" s="275">
        <v>59252346</v>
      </c>
      <c r="F909" s="275"/>
      <c r="G909" s="105" t="s">
        <v>1956</v>
      </c>
      <c r="H909" s="276">
        <v>12</v>
      </c>
      <c r="I909" s="275">
        <v>70018857</v>
      </c>
      <c r="J909" s="106"/>
      <c r="K909" s="107"/>
      <c r="L909" s="149"/>
    </row>
    <row r="910" spans="1:12" x14ac:dyDescent="0.25">
      <c r="A910" s="476"/>
      <c r="B910" s="275" t="s">
        <v>504</v>
      </c>
      <c r="C910" s="276" t="s">
        <v>1960</v>
      </c>
      <c r="D910" s="276">
        <v>12</v>
      </c>
      <c r="E910" s="275">
        <v>59257870</v>
      </c>
      <c r="F910" s="275"/>
      <c r="G910" s="105" t="s">
        <v>1956</v>
      </c>
      <c r="H910" s="276">
        <v>12</v>
      </c>
      <c r="I910" s="275">
        <v>69270040</v>
      </c>
      <c r="J910" s="106"/>
      <c r="K910" s="107"/>
      <c r="L910" s="149"/>
    </row>
    <row r="911" spans="1:12" x14ac:dyDescent="0.25">
      <c r="A911" s="476"/>
      <c r="B911" s="275" t="s">
        <v>504</v>
      </c>
      <c r="C911" s="276" t="s">
        <v>1964</v>
      </c>
      <c r="D911" s="276">
        <v>12</v>
      </c>
      <c r="E911" s="275">
        <v>59261044</v>
      </c>
      <c r="F911" s="275"/>
      <c r="G911" s="105" t="s">
        <v>1956</v>
      </c>
      <c r="H911" s="276">
        <v>12</v>
      </c>
      <c r="I911" s="275">
        <v>128257851</v>
      </c>
      <c r="J911" s="106"/>
      <c r="K911" s="107"/>
      <c r="L911" s="149"/>
    </row>
    <row r="912" spans="1:12" x14ac:dyDescent="0.25">
      <c r="A912" s="476"/>
      <c r="B912" s="275" t="s">
        <v>504</v>
      </c>
      <c r="C912" s="276" t="s">
        <v>1964</v>
      </c>
      <c r="D912" s="276">
        <v>12</v>
      </c>
      <c r="E912" s="275">
        <v>59261837</v>
      </c>
      <c r="F912" s="275"/>
      <c r="G912" s="105" t="s">
        <v>1956</v>
      </c>
      <c r="H912" s="276">
        <v>12</v>
      </c>
      <c r="I912" s="275">
        <v>69337237</v>
      </c>
      <c r="J912" s="106"/>
      <c r="K912" s="107"/>
      <c r="L912" s="149"/>
    </row>
    <row r="913" spans="1:12" x14ac:dyDescent="0.25">
      <c r="A913" s="476"/>
      <c r="B913" s="275" t="s">
        <v>504</v>
      </c>
      <c r="C913" s="276" t="s">
        <v>1954</v>
      </c>
      <c r="D913" s="276">
        <v>12</v>
      </c>
      <c r="E913" s="275">
        <v>59266773</v>
      </c>
      <c r="F913" s="275"/>
      <c r="G913" s="105" t="s">
        <v>1956</v>
      </c>
      <c r="H913" s="276">
        <v>12</v>
      </c>
      <c r="I913" s="275">
        <v>69444476</v>
      </c>
      <c r="J913" s="106"/>
      <c r="K913" s="107"/>
      <c r="L913" s="149"/>
    </row>
    <row r="914" spans="1:12" x14ac:dyDescent="0.25">
      <c r="A914" s="476"/>
      <c r="B914" s="275" t="s">
        <v>504</v>
      </c>
      <c r="C914" s="276" t="s">
        <v>1964</v>
      </c>
      <c r="D914" s="276">
        <v>12</v>
      </c>
      <c r="E914" s="275">
        <v>59267033</v>
      </c>
      <c r="F914" s="275"/>
      <c r="G914" s="105" t="s">
        <v>1956</v>
      </c>
      <c r="H914" s="276">
        <v>12</v>
      </c>
      <c r="I914" s="275">
        <v>71109863</v>
      </c>
      <c r="J914" s="106"/>
      <c r="K914" s="107"/>
      <c r="L914" s="149"/>
    </row>
    <row r="915" spans="1:12" x14ac:dyDescent="0.25">
      <c r="A915" s="476"/>
      <c r="B915" s="275" t="s">
        <v>504</v>
      </c>
      <c r="C915" s="276" t="s">
        <v>1964</v>
      </c>
      <c r="D915" s="276">
        <v>12</v>
      </c>
      <c r="E915" s="275">
        <v>59267270</v>
      </c>
      <c r="F915" s="275"/>
      <c r="G915" s="105" t="s">
        <v>1956</v>
      </c>
      <c r="H915" s="276">
        <v>12</v>
      </c>
      <c r="I915" s="275">
        <v>69950550</v>
      </c>
      <c r="J915" s="106"/>
      <c r="K915" s="107"/>
      <c r="L915" s="149"/>
    </row>
    <row r="916" spans="1:12" x14ac:dyDescent="0.25">
      <c r="A916" s="476"/>
      <c r="B916" s="275" t="s">
        <v>504</v>
      </c>
      <c r="C916" s="276" t="s">
        <v>1964</v>
      </c>
      <c r="D916" s="276">
        <v>12</v>
      </c>
      <c r="E916" s="275">
        <v>59285445</v>
      </c>
      <c r="F916" s="275"/>
      <c r="G916" s="105" t="s">
        <v>1956</v>
      </c>
      <c r="H916" s="276">
        <v>12</v>
      </c>
      <c r="I916" s="275">
        <v>69653764</v>
      </c>
      <c r="J916" s="106"/>
      <c r="K916" s="107"/>
      <c r="L916" s="149"/>
    </row>
    <row r="917" spans="1:12" x14ac:dyDescent="0.25">
      <c r="A917" s="476"/>
      <c r="B917" s="275" t="s">
        <v>504</v>
      </c>
      <c r="C917" s="276" t="s">
        <v>1964</v>
      </c>
      <c r="D917" s="276">
        <v>12</v>
      </c>
      <c r="E917" s="275">
        <v>59291355</v>
      </c>
      <c r="F917" s="275"/>
      <c r="G917" s="105" t="s">
        <v>1956</v>
      </c>
      <c r="H917" s="276">
        <v>12</v>
      </c>
      <c r="I917" s="275">
        <v>71277044</v>
      </c>
      <c r="J917" s="106"/>
      <c r="K917" s="107"/>
      <c r="L917" s="149"/>
    </row>
    <row r="918" spans="1:12" x14ac:dyDescent="0.25">
      <c r="A918" s="476"/>
      <c r="B918" s="275" t="s">
        <v>504</v>
      </c>
      <c r="C918" s="276" t="s">
        <v>1960</v>
      </c>
      <c r="D918" s="276">
        <v>12</v>
      </c>
      <c r="E918" s="275">
        <v>59291462</v>
      </c>
      <c r="F918" s="275"/>
      <c r="G918" s="105" t="s">
        <v>1956</v>
      </c>
      <c r="H918" s="276">
        <v>12</v>
      </c>
      <c r="I918" s="275">
        <v>90308946</v>
      </c>
      <c r="J918" s="106"/>
      <c r="K918" s="107"/>
      <c r="L918" s="149"/>
    </row>
    <row r="919" spans="1:12" x14ac:dyDescent="0.25">
      <c r="A919" s="476"/>
      <c r="B919" s="275" t="s">
        <v>504</v>
      </c>
      <c r="C919" s="276" t="s">
        <v>1964</v>
      </c>
      <c r="D919" s="276">
        <v>12</v>
      </c>
      <c r="E919" s="275">
        <v>68693586</v>
      </c>
      <c r="F919" s="275"/>
      <c r="G919" s="105" t="s">
        <v>1956</v>
      </c>
      <c r="H919" s="276">
        <v>12</v>
      </c>
      <c r="I919" s="275">
        <v>127987575</v>
      </c>
      <c r="J919" s="106"/>
      <c r="K919" s="107"/>
      <c r="L919" s="149"/>
    </row>
    <row r="920" spans="1:12" x14ac:dyDescent="0.25">
      <c r="A920" s="476"/>
      <c r="B920" s="275" t="s">
        <v>504</v>
      </c>
      <c r="C920" s="276" t="s">
        <v>1964</v>
      </c>
      <c r="D920" s="276">
        <v>12</v>
      </c>
      <c r="E920" s="275">
        <v>68696435</v>
      </c>
      <c r="F920" s="275"/>
      <c r="G920" s="105" t="s">
        <v>1956</v>
      </c>
      <c r="H920" s="276">
        <v>12</v>
      </c>
      <c r="I920" s="275">
        <v>69846925</v>
      </c>
      <c r="J920" s="106"/>
      <c r="K920" s="107"/>
      <c r="L920" s="149"/>
    </row>
    <row r="921" spans="1:12" x14ac:dyDescent="0.25">
      <c r="A921" s="476"/>
      <c r="B921" s="275" t="s">
        <v>504</v>
      </c>
      <c r="C921" s="276" t="s">
        <v>1960</v>
      </c>
      <c r="D921" s="276">
        <v>12</v>
      </c>
      <c r="E921" s="275">
        <v>68744952</v>
      </c>
      <c r="F921" s="275"/>
      <c r="G921" s="105" t="s">
        <v>1956</v>
      </c>
      <c r="H921" s="276">
        <v>12</v>
      </c>
      <c r="I921" s="275">
        <v>70211236</v>
      </c>
      <c r="J921" s="106"/>
      <c r="K921" s="107"/>
      <c r="L921" s="149"/>
    </row>
    <row r="922" spans="1:12" x14ac:dyDescent="0.25">
      <c r="A922" s="476"/>
      <c r="B922" s="275" t="s">
        <v>504</v>
      </c>
      <c r="C922" s="276" t="s">
        <v>1964</v>
      </c>
      <c r="D922" s="276">
        <v>12</v>
      </c>
      <c r="E922" s="275">
        <v>68763286</v>
      </c>
      <c r="F922" s="275"/>
      <c r="G922" s="105" t="s">
        <v>1956</v>
      </c>
      <c r="H922" s="276">
        <v>12</v>
      </c>
      <c r="I922" s="275">
        <v>70854718</v>
      </c>
      <c r="J922" s="106"/>
      <c r="K922" s="107"/>
      <c r="L922" s="149"/>
    </row>
    <row r="923" spans="1:12" x14ac:dyDescent="0.25">
      <c r="A923" s="476"/>
      <c r="B923" s="275" t="s">
        <v>504</v>
      </c>
      <c r="C923" s="276" t="s">
        <v>1964</v>
      </c>
      <c r="D923" s="276">
        <v>12</v>
      </c>
      <c r="E923" s="275">
        <v>68763306</v>
      </c>
      <c r="F923" s="275"/>
      <c r="G923" s="105" t="s">
        <v>1956</v>
      </c>
      <c r="H923" s="276">
        <v>12</v>
      </c>
      <c r="I923" s="275">
        <v>70854719</v>
      </c>
      <c r="J923" s="106"/>
      <c r="K923" s="107"/>
      <c r="L923" s="149"/>
    </row>
    <row r="924" spans="1:12" x14ac:dyDescent="0.25">
      <c r="A924" s="476"/>
      <c r="B924" s="275" t="s">
        <v>504</v>
      </c>
      <c r="C924" s="276" t="s">
        <v>1964</v>
      </c>
      <c r="D924" s="276">
        <v>12</v>
      </c>
      <c r="E924" s="275">
        <v>68763596</v>
      </c>
      <c r="F924" s="275"/>
      <c r="G924" s="105" t="s">
        <v>1956</v>
      </c>
      <c r="H924" s="276">
        <v>12</v>
      </c>
      <c r="I924" s="275">
        <v>69846758</v>
      </c>
      <c r="J924" s="106"/>
      <c r="K924" s="107"/>
      <c r="L924" s="149"/>
    </row>
    <row r="925" spans="1:12" x14ac:dyDescent="0.25">
      <c r="A925" s="476"/>
      <c r="B925" s="275" t="s">
        <v>504</v>
      </c>
      <c r="C925" s="276" t="s">
        <v>1964</v>
      </c>
      <c r="D925" s="276">
        <v>12</v>
      </c>
      <c r="E925" s="275">
        <v>68803952</v>
      </c>
      <c r="F925" s="275"/>
      <c r="G925" s="105" t="s">
        <v>1956</v>
      </c>
      <c r="H925" s="276">
        <v>12</v>
      </c>
      <c r="I925" s="275">
        <v>128125980</v>
      </c>
      <c r="J925" s="106"/>
      <c r="K925" s="107"/>
      <c r="L925" s="149"/>
    </row>
    <row r="926" spans="1:12" x14ac:dyDescent="0.25">
      <c r="A926" s="476"/>
      <c r="B926" s="275" t="s">
        <v>504</v>
      </c>
      <c r="C926" s="276" t="s">
        <v>1964</v>
      </c>
      <c r="D926" s="276">
        <v>12</v>
      </c>
      <c r="E926" s="275">
        <v>68817895</v>
      </c>
      <c r="F926" s="275"/>
      <c r="G926" s="105" t="s">
        <v>1956</v>
      </c>
      <c r="H926" s="276">
        <v>12</v>
      </c>
      <c r="I926" s="275">
        <v>69079374</v>
      </c>
      <c r="J926" s="106"/>
      <c r="K926" s="107"/>
      <c r="L926" s="149"/>
    </row>
    <row r="927" spans="1:12" x14ac:dyDescent="0.25">
      <c r="A927" s="476"/>
      <c r="B927" s="275" t="s">
        <v>504</v>
      </c>
      <c r="C927" s="276" t="s">
        <v>1964</v>
      </c>
      <c r="D927" s="276">
        <v>12</v>
      </c>
      <c r="E927" s="275">
        <v>68857193</v>
      </c>
      <c r="F927" s="275"/>
      <c r="G927" s="105" t="s">
        <v>1956</v>
      </c>
      <c r="H927" s="276">
        <v>12</v>
      </c>
      <c r="I927" s="275">
        <v>128449045</v>
      </c>
      <c r="J927" s="106"/>
      <c r="K927" s="107"/>
      <c r="L927" s="149"/>
    </row>
    <row r="928" spans="1:12" x14ac:dyDescent="0.25">
      <c r="A928" s="476"/>
      <c r="B928" s="275" t="s">
        <v>504</v>
      </c>
      <c r="C928" s="276" t="s">
        <v>1960</v>
      </c>
      <c r="D928" s="276">
        <v>12</v>
      </c>
      <c r="E928" s="275">
        <v>68859324</v>
      </c>
      <c r="F928" s="275"/>
      <c r="G928" s="105" t="s">
        <v>1956</v>
      </c>
      <c r="H928" s="276">
        <v>12</v>
      </c>
      <c r="I928" s="275">
        <v>71004051</v>
      </c>
      <c r="J928" s="106"/>
      <c r="K928" s="107"/>
      <c r="L928" s="149"/>
    </row>
    <row r="929" spans="1:12" x14ac:dyDescent="0.25">
      <c r="A929" s="476"/>
      <c r="B929" s="275" t="s">
        <v>504</v>
      </c>
      <c r="C929" s="276" t="s">
        <v>1960</v>
      </c>
      <c r="D929" s="276">
        <v>12</v>
      </c>
      <c r="E929" s="275">
        <v>68866145</v>
      </c>
      <c r="F929" s="275"/>
      <c r="G929" s="105" t="s">
        <v>1956</v>
      </c>
      <c r="H929" s="276">
        <v>12</v>
      </c>
      <c r="I929" s="275">
        <v>70948045</v>
      </c>
      <c r="J929" s="106"/>
      <c r="K929" s="107"/>
      <c r="L929" s="149"/>
    </row>
    <row r="930" spans="1:12" x14ac:dyDescent="0.25">
      <c r="A930" s="476"/>
      <c r="B930" s="275" t="s">
        <v>504</v>
      </c>
      <c r="C930" s="276" t="s">
        <v>1964</v>
      </c>
      <c r="D930" s="276">
        <v>12</v>
      </c>
      <c r="E930" s="275">
        <v>68872798</v>
      </c>
      <c r="F930" s="275"/>
      <c r="G930" s="105" t="s">
        <v>1956</v>
      </c>
      <c r="H930" s="276">
        <v>12</v>
      </c>
      <c r="I930" s="275">
        <v>69784479</v>
      </c>
      <c r="J930" s="106"/>
      <c r="K930" s="107"/>
      <c r="L930" s="149"/>
    </row>
    <row r="931" spans="1:12" x14ac:dyDescent="0.25">
      <c r="A931" s="476"/>
      <c r="B931" s="275" t="s">
        <v>504</v>
      </c>
      <c r="C931" s="276" t="s">
        <v>1964</v>
      </c>
      <c r="D931" s="276">
        <v>12</v>
      </c>
      <c r="E931" s="275">
        <v>68876637</v>
      </c>
      <c r="F931" s="275"/>
      <c r="G931" s="105" t="s">
        <v>1956</v>
      </c>
      <c r="H931" s="276">
        <v>12</v>
      </c>
      <c r="I931" s="275">
        <v>69121089</v>
      </c>
      <c r="J931" s="106"/>
      <c r="K931" s="107"/>
      <c r="L931" s="149"/>
    </row>
    <row r="932" spans="1:12" x14ac:dyDescent="0.25">
      <c r="A932" s="476"/>
      <c r="B932" s="275" t="s">
        <v>504</v>
      </c>
      <c r="C932" s="276" t="s">
        <v>1960</v>
      </c>
      <c r="D932" s="276">
        <v>12</v>
      </c>
      <c r="E932" s="275">
        <v>68922649</v>
      </c>
      <c r="F932" s="275"/>
      <c r="G932" s="105" t="s">
        <v>1956</v>
      </c>
      <c r="H932" s="276">
        <v>12</v>
      </c>
      <c r="I932" s="275">
        <v>128656056</v>
      </c>
      <c r="J932" s="106"/>
      <c r="K932" s="107"/>
      <c r="L932" s="149"/>
    </row>
    <row r="933" spans="1:12" x14ac:dyDescent="0.25">
      <c r="A933" s="476"/>
      <c r="B933" s="275" t="s">
        <v>504</v>
      </c>
      <c r="C933" s="276" t="s">
        <v>1960</v>
      </c>
      <c r="D933" s="276">
        <v>12</v>
      </c>
      <c r="E933" s="275">
        <v>68928693</v>
      </c>
      <c r="F933" s="275"/>
      <c r="G933" s="105" t="s">
        <v>1956</v>
      </c>
      <c r="H933" s="276">
        <v>12</v>
      </c>
      <c r="I933" s="275">
        <v>69307738</v>
      </c>
      <c r="J933" s="106"/>
      <c r="K933" s="107"/>
      <c r="L933" s="149"/>
    </row>
    <row r="934" spans="1:12" x14ac:dyDescent="0.25">
      <c r="A934" s="476"/>
      <c r="B934" s="275" t="s">
        <v>504</v>
      </c>
      <c r="C934" s="276" t="s">
        <v>1954</v>
      </c>
      <c r="D934" s="276">
        <v>12</v>
      </c>
      <c r="E934" s="275">
        <v>68930338</v>
      </c>
      <c r="F934" s="275"/>
      <c r="G934" s="105" t="s">
        <v>1956</v>
      </c>
      <c r="H934" s="276">
        <v>12</v>
      </c>
      <c r="I934" s="275">
        <v>70414972</v>
      </c>
      <c r="J934" s="106"/>
      <c r="K934" s="107"/>
      <c r="L934" s="149"/>
    </row>
    <row r="935" spans="1:12" x14ac:dyDescent="0.25">
      <c r="A935" s="476"/>
      <c r="B935" s="275" t="s">
        <v>504</v>
      </c>
      <c r="C935" s="276" t="s">
        <v>1954</v>
      </c>
      <c r="D935" s="276">
        <v>12</v>
      </c>
      <c r="E935" s="275">
        <v>68934037</v>
      </c>
      <c r="F935" s="275"/>
      <c r="G935" s="105" t="s">
        <v>1956</v>
      </c>
      <c r="H935" s="276">
        <v>12</v>
      </c>
      <c r="I935" s="275">
        <v>69116856</v>
      </c>
      <c r="J935" s="106"/>
      <c r="K935" s="107"/>
      <c r="L935" s="149"/>
    </row>
    <row r="936" spans="1:12" x14ac:dyDescent="0.25">
      <c r="A936" s="476"/>
      <c r="B936" s="275" t="s">
        <v>504</v>
      </c>
      <c r="C936" s="276" t="s">
        <v>1954</v>
      </c>
      <c r="D936" s="276">
        <v>12</v>
      </c>
      <c r="E936" s="275">
        <v>68971016</v>
      </c>
      <c r="F936" s="275"/>
      <c r="G936" s="105" t="s">
        <v>1956</v>
      </c>
      <c r="H936" s="276">
        <v>12</v>
      </c>
      <c r="I936" s="275">
        <v>128546835</v>
      </c>
      <c r="J936" s="106"/>
      <c r="K936" s="107"/>
      <c r="L936" s="149"/>
    </row>
    <row r="937" spans="1:12" x14ac:dyDescent="0.25">
      <c r="A937" s="476"/>
      <c r="B937" s="275" t="s">
        <v>504</v>
      </c>
      <c r="C937" s="276" t="s">
        <v>1964</v>
      </c>
      <c r="D937" s="276">
        <v>12</v>
      </c>
      <c r="E937" s="275">
        <v>69051813</v>
      </c>
      <c r="F937" s="275"/>
      <c r="G937" s="105" t="s">
        <v>1956</v>
      </c>
      <c r="H937" s="276">
        <v>12</v>
      </c>
      <c r="I937" s="275">
        <v>71134245</v>
      </c>
      <c r="J937" s="106"/>
      <c r="K937" s="107"/>
      <c r="L937" s="149"/>
    </row>
    <row r="938" spans="1:12" x14ac:dyDescent="0.25">
      <c r="A938" s="476"/>
      <c r="B938" s="275" t="s">
        <v>504</v>
      </c>
      <c r="C938" s="276" t="s">
        <v>1960</v>
      </c>
      <c r="D938" s="276">
        <v>12</v>
      </c>
      <c r="E938" s="275">
        <v>69052055</v>
      </c>
      <c r="F938" s="275"/>
      <c r="G938" s="105" t="s">
        <v>1956</v>
      </c>
      <c r="H938" s="276">
        <v>12</v>
      </c>
      <c r="I938" s="275">
        <v>70326390</v>
      </c>
      <c r="J938" s="106"/>
      <c r="K938" s="107"/>
      <c r="L938" s="149"/>
    </row>
    <row r="939" spans="1:12" x14ac:dyDescent="0.25">
      <c r="A939" s="476"/>
      <c r="B939" s="275" t="s">
        <v>504</v>
      </c>
      <c r="C939" s="276" t="s">
        <v>1960</v>
      </c>
      <c r="D939" s="276">
        <v>12</v>
      </c>
      <c r="E939" s="275">
        <v>69054436</v>
      </c>
      <c r="F939" s="275"/>
      <c r="G939" s="105" t="s">
        <v>1956</v>
      </c>
      <c r="H939" s="276">
        <v>12</v>
      </c>
      <c r="I939" s="275">
        <v>69523361</v>
      </c>
      <c r="J939" s="106"/>
      <c r="K939" s="107"/>
      <c r="L939" s="149"/>
    </row>
    <row r="940" spans="1:12" x14ac:dyDescent="0.25">
      <c r="A940" s="476"/>
      <c r="B940" s="275" t="s">
        <v>504</v>
      </c>
      <c r="C940" s="276" t="s">
        <v>1964</v>
      </c>
      <c r="D940" s="276">
        <v>12</v>
      </c>
      <c r="E940" s="275">
        <v>69055072</v>
      </c>
      <c r="F940" s="275"/>
      <c r="G940" s="105" t="s">
        <v>1956</v>
      </c>
      <c r="H940" s="276">
        <v>12</v>
      </c>
      <c r="I940" s="275">
        <v>69476082</v>
      </c>
      <c r="J940" s="106"/>
      <c r="K940" s="107"/>
      <c r="L940" s="149"/>
    </row>
    <row r="941" spans="1:12" x14ac:dyDescent="0.25">
      <c r="A941" s="476"/>
      <c r="B941" s="275" t="s">
        <v>504</v>
      </c>
      <c r="C941" s="276" t="s">
        <v>1954</v>
      </c>
      <c r="D941" s="276">
        <v>12</v>
      </c>
      <c r="E941" s="275">
        <v>69056241</v>
      </c>
      <c r="F941" s="275"/>
      <c r="G941" s="105" t="s">
        <v>1956</v>
      </c>
      <c r="H941" s="276">
        <v>12</v>
      </c>
      <c r="I941" s="275">
        <v>69794077</v>
      </c>
      <c r="J941" s="106"/>
      <c r="K941" s="107"/>
      <c r="L941" s="149"/>
    </row>
    <row r="942" spans="1:12" x14ac:dyDescent="0.25">
      <c r="A942" s="476"/>
      <c r="B942" s="275" t="s">
        <v>504</v>
      </c>
      <c r="C942" s="276" t="s">
        <v>1960</v>
      </c>
      <c r="D942" s="276">
        <v>12</v>
      </c>
      <c r="E942" s="275">
        <v>69068368</v>
      </c>
      <c r="F942" s="275"/>
      <c r="G942" s="105" t="s">
        <v>1956</v>
      </c>
      <c r="H942" s="276">
        <v>12</v>
      </c>
      <c r="I942" s="275">
        <v>70689760</v>
      </c>
      <c r="J942" s="106"/>
      <c r="K942" s="107"/>
      <c r="L942" s="149"/>
    </row>
    <row r="943" spans="1:12" x14ac:dyDescent="0.25">
      <c r="A943" s="476"/>
      <c r="B943" s="275" t="s">
        <v>504</v>
      </c>
      <c r="C943" s="276" t="s">
        <v>1964</v>
      </c>
      <c r="D943" s="276">
        <v>12</v>
      </c>
      <c r="E943" s="275">
        <v>69070779</v>
      </c>
      <c r="F943" s="275"/>
      <c r="G943" s="105" t="s">
        <v>1956</v>
      </c>
      <c r="H943" s="276">
        <v>12</v>
      </c>
      <c r="I943" s="275">
        <v>70813768</v>
      </c>
      <c r="J943" s="106"/>
      <c r="K943" s="107"/>
      <c r="L943" s="149"/>
    </row>
    <row r="944" spans="1:12" x14ac:dyDescent="0.25">
      <c r="A944" s="476"/>
      <c r="B944" s="275" t="s">
        <v>504</v>
      </c>
      <c r="C944" s="276" t="s">
        <v>1964</v>
      </c>
      <c r="D944" s="276">
        <v>12</v>
      </c>
      <c r="E944" s="275">
        <v>69079408</v>
      </c>
      <c r="F944" s="275"/>
      <c r="G944" s="105" t="s">
        <v>1956</v>
      </c>
      <c r="H944" s="276">
        <v>12</v>
      </c>
      <c r="I944" s="275">
        <v>69694739</v>
      </c>
      <c r="J944" s="106"/>
      <c r="K944" s="107"/>
      <c r="L944" s="149"/>
    </row>
    <row r="945" spans="1:12" x14ac:dyDescent="0.25">
      <c r="A945" s="476"/>
      <c r="B945" s="275" t="s">
        <v>504</v>
      </c>
      <c r="C945" s="276" t="s">
        <v>1954</v>
      </c>
      <c r="D945" s="276">
        <v>12</v>
      </c>
      <c r="E945" s="275">
        <v>69083001</v>
      </c>
      <c r="F945" s="275"/>
      <c r="G945" s="105" t="s">
        <v>1956</v>
      </c>
      <c r="H945" s="276">
        <v>12</v>
      </c>
      <c r="I945" s="275">
        <v>70321117</v>
      </c>
      <c r="J945" s="106"/>
      <c r="K945" s="107"/>
      <c r="L945" s="149"/>
    </row>
    <row r="946" spans="1:12" x14ac:dyDescent="0.25">
      <c r="A946" s="476"/>
      <c r="B946" s="275" t="s">
        <v>504</v>
      </c>
      <c r="C946" s="276" t="s">
        <v>1964</v>
      </c>
      <c r="D946" s="276">
        <v>12</v>
      </c>
      <c r="E946" s="275">
        <v>69084075</v>
      </c>
      <c r="F946" s="275"/>
      <c r="G946" s="105" t="s">
        <v>1956</v>
      </c>
      <c r="H946" s="276">
        <v>12</v>
      </c>
      <c r="I946" s="275">
        <v>128590027</v>
      </c>
      <c r="J946" s="106"/>
      <c r="K946" s="107"/>
      <c r="L946" s="149"/>
    </row>
    <row r="947" spans="1:12" x14ac:dyDescent="0.25">
      <c r="A947" s="476"/>
      <c r="B947" s="275" t="s">
        <v>504</v>
      </c>
      <c r="C947" s="276" t="s">
        <v>1960</v>
      </c>
      <c r="D947" s="276">
        <v>12</v>
      </c>
      <c r="E947" s="275">
        <v>69087263</v>
      </c>
      <c r="F947" s="275"/>
      <c r="G947" s="105" t="s">
        <v>1956</v>
      </c>
      <c r="H947" s="276">
        <v>12</v>
      </c>
      <c r="I947" s="275">
        <v>128555506</v>
      </c>
      <c r="J947" s="106"/>
      <c r="K947" s="107"/>
      <c r="L947" s="149"/>
    </row>
    <row r="948" spans="1:12" x14ac:dyDescent="0.25">
      <c r="A948" s="476"/>
      <c r="B948" s="275" t="s">
        <v>504</v>
      </c>
      <c r="C948" s="276" t="s">
        <v>1964</v>
      </c>
      <c r="D948" s="276">
        <v>12</v>
      </c>
      <c r="E948" s="275">
        <v>69092764</v>
      </c>
      <c r="F948" s="275"/>
      <c r="G948" s="105" t="s">
        <v>1956</v>
      </c>
      <c r="H948" s="276">
        <v>12</v>
      </c>
      <c r="I948" s="275">
        <v>70073728</v>
      </c>
      <c r="J948" s="106"/>
      <c r="K948" s="107"/>
      <c r="L948" s="149"/>
    </row>
    <row r="949" spans="1:12" x14ac:dyDescent="0.25">
      <c r="A949" s="476"/>
      <c r="B949" s="275" t="s">
        <v>504</v>
      </c>
      <c r="C949" s="276" t="s">
        <v>1960</v>
      </c>
      <c r="D949" s="276">
        <v>12</v>
      </c>
      <c r="E949" s="275">
        <v>69098490</v>
      </c>
      <c r="F949" s="275"/>
      <c r="G949" s="105" t="s">
        <v>1956</v>
      </c>
      <c r="H949" s="276">
        <v>12</v>
      </c>
      <c r="I949" s="275">
        <v>71077602</v>
      </c>
      <c r="J949" s="106"/>
      <c r="K949" s="107"/>
      <c r="L949" s="149"/>
    </row>
    <row r="950" spans="1:12" x14ac:dyDescent="0.25">
      <c r="A950" s="476"/>
      <c r="B950" s="275" t="s">
        <v>504</v>
      </c>
      <c r="C950" s="276" t="s">
        <v>1964</v>
      </c>
      <c r="D950" s="276">
        <v>12</v>
      </c>
      <c r="E950" s="275">
        <v>69101343</v>
      </c>
      <c r="F950" s="275"/>
      <c r="G950" s="105" t="s">
        <v>1956</v>
      </c>
      <c r="H950" s="276">
        <v>12</v>
      </c>
      <c r="I950" s="275">
        <v>69775237</v>
      </c>
      <c r="J950" s="106"/>
      <c r="K950" s="107"/>
      <c r="L950" s="149"/>
    </row>
    <row r="951" spans="1:12" x14ac:dyDescent="0.25">
      <c r="A951" s="476"/>
      <c r="B951" s="275" t="s">
        <v>504</v>
      </c>
      <c r="C951" s="276" t="s">
        <v>1954</v>
      </c>
      <c r="D951" s="276">
        <v>12</v>
      </c>
      <c r="E951" s="275">
        <v>69103599</v>
      </c>
      <c r="F951" s="275"/>
      <c r="G951" s="105" t="s">
        <v>1956</v>
      </c>
      <c r="H951" s="276">
        <v>12</v>
      </c>
      <c r="I951" s="275">
        <v>69448760</v>
      </c>
      <c r="J951" s="106"/>
      <c r="K951" s="107"/>
      <c r="L951" s="149"/>
    </row>
    <row r="952" spans="1:12" x14ac:dyDescent="0.25">
      <c r="A952" s="476"/>
      <c r="B952" s="275" t="s">
        <v>504</v>
      </c>
      <c r="C952" s="276" t="s">
        <v>1964</v>
      </c>
      <c r="D952" s="276">
        <v>12</v>
      </c>
      <c r="E952" s="275">
        <v>69108279</v>
      </c>
      <c r="F952" s="275"/>
      <c r="G952" s="105" t="s">
        <v>1956</v>
      </c>
      <c r="H952" s="276">
        <v>12</v>
      </c>
      <c r="I952" s="275">
        <v>71114843</v>
      </c>
      <c r="J952" s="106"/>
      <c r="K952" s="107"/>
      <c r="L952" s="149"/>
    </row>
    <row r="953" spans="1:12" x14ac:dyDescent="0.25">
      <c r="A953" s="476"/>
      <c r="B953" s="275" t="s">
        <v>504</v>
      </c>
      <c r="C953" s="276" t="s">
        <v>1960</v>
      </c>
      <c r="D953" s="276">
        <v>12</v>
      </c>
      <c r="E953" s="275">
        <v>69109019</v>
      </c>
      <c r="F953" s="275"/>
      <c r="G953" s="105" t="s">
        <v>1956</v>
      </c>
      <c r="H953" s="276">
        <v>12</v>
      </c>
      <c r="I953" s="275">
        <v>128129431</v>
      </c>
      <c r="J953" s="106"/>
      <c r="K953" s="107"/>
      <c r="L953" s="149"/>
    </row>
    <row r="954" spans="1:12" x14ac:dyDescent="0.25">
      <c r="A954" s="476"/>
      <c r="B954" s="275" t="s">
        <v>504</v>
      </c>
      <c r="C954" s="276" t="s">
        <v>1960</v>
      </c>
      <c r="D954" s="276">
        <v>12</v>
      </c>
      <c r="E954" s="275">
        <v>69113735</v>
      </c>
      <c r="F954" s="275"/>
      <c r="G954" s="105" t="s">
        <v>1956</v>
      </c>
      <c r="H954" s="276">
        <v>12</v>
      </c>
      <c r="I954" s="275">
        <v>69233120</v>
      </c>
      <c r="J954" s="106"/>
      <c r="K954" s="107"/>
      <c r="L954" s="149"/>
    </row>
    <row r="955" spans="1:12" x14ac:dyDescent="0.25">
      <c r="A955" s="476"/>
      <c r="B955" s="275" t="s">
        <v>504</v>
      </c>
      <c r="C955" s="276" t="s">
        <v>1960</v>
      </c>
      <c r="D955" s="276">
        <v>12</v>
      </c>
      <c r="E955" s="275">
        <v>69115618</v>
      </c>
      <c r="F955" s="275"/>
      <c r="G955" s="105" t="s">
        <v>1956</v>
      </c>
      <c r="H955" s="276">
        <v>12</v>
      </c>
      <c r="I955" s="275">
        <v>69629280</v>
      </c>
      <c r="J955" s="106"/>
      <c r="K955" s="107"/>
      <c r="L955" s="149"/>
    </row>
    <row r="956" spans="1:12" x14ac:dyDescent="0.25">
      <c r="A956" s="476"/>
      <c r="B956" s="275" t="s">
        <v>504</v>
      </c>
      <c r="C956" s="276" t="s">
        <v>1964</v>
      </c>
      <c r="D956" s="276">
        <v>12</v>
      </c>
      <c r="E956" s="275">
        <v>69115834</v>
      </c>
      <c r="F956" s="275"/>
      <c r="G956" s="105" t="s">
        <v>1956</v>
      </c>
      <c r="H956" s="276">
        <v>12</v>
      </c>
      <c r="I956" s="275">
        <v>69155286</v>
      </c>
      <c r="J956" s="106"/>
      <c r="K956" s="107"/>
      <c r="L956" s="149"/>
    </row>
    <row r="957" spans="1:12" x14ac:dyDescent="0.25">
      <c r="A957" s="476"/>
      <c r="B957" s="275" t="s">
        <v>504</v>
      </c>
      <c r="C957" s="276" t="s">
        <v>1954</v>
      </c>
      <c r="D957" s="276">
        <v>12</v>
      </c>
      <c r="E957" s="275">
        <v>69120760</v>
      </c>
      <c r="F957" s="275"/>
      <c r="G957" s="105" t="s">
        <v>1956</v>
      </c>
      <c r="H957" s="276">
        <v>12</v>
      </c>
      <c r="I957" s="275">
        <v>128040048</v>
      </c>
      <c r="J957" s="106"/>
      <c r="K957" s="107"/>
      <c r="L957" s="149"/>
    </row>
    <row r="958" spans="1:12" x14ac:dyDescent="0.25">
      <c r="A958" s="476"/>
      <c r="B958" s="275" t="s">
        <v>504</v>
      </c>
      <c r="C958" s="276" t="s">
        <v>1954</v>
      </c>
      <c r="D958" s="276">
        <v>12</v>
      </c>
      <c r="E958" s="275">
        <v>69125981</v>
      </c>
      <c r="F958" s="275"/>
      <c r="G958" s="105" t="s">
        <v>1956</v>
      </c>
      <c r="H958" s="276">
        <v>12</v>
      </c>
      <c r="I958" s="275">
        <v>69342703</v>
      </c>
      <c r="J958" s="106"/>
      <c r="K958" s="107"/>
      <c r="L958" s="149"/>
    </row>
    <row r="959" spans="1:12" x14ac:dyDescent="0.25">
      <c r="A959" s="476"/>
      <c r="B959" s="275" t="s">
        <v>504</v>
      </c>
      <c r="C959" s="276" t="s">
        <v>1964</v>
      </c>
      <c r="D959" s="276">
        <v>12</v>
      </c>
      <c r="E959" s="275">
        <v>69127395</v>
      </c>
      <c r="F959" s="275"/>
      <c r="G959" s="105" t="s">
        <v>1956</v>
      </c>
      <c r="H959" s="276">
        <v>12</v>
      </c>
      <c r="I959" s="275">
        <v>71012122</v>
      </c>
      <c r="J959" s="106"/>
      <c r="K959" s="107"/>
      <c r="L959" s="149"/>
    </row>
    <row r="960" spans="1:12" x14ac:dyDescent="0.25">
      <c r="A960" s="476"/>
      <c r="B960" s="275" t="s">
        <v>504</v>
      </c>
      <c r="C960" s="276" t="s">
        <v>1954</v>
      </c>
      <c r="D960" s="276">
        <v>12</v>
      </c>
      <c r="E960" s="275">
        <v>69131321</v>
      </c>
      <c r="F960" s="275"/>
      <c r="G960" s="105" t="s">
        <v>1956</v>
      </c>
      <c r="H960" s="276">
        <v>12</v>
      </c>
      <c r="I960" s="275">
        <v>69324102</v>
      </c>
      <c r="J960" s="106"/>
      <c r="K960" s="107"/>
      <c r="L960" s="149"/>
    </row>
    <row r="961" spans="1:12" x14ac:dyDescent="0.25">
      <c r="A961" s="476"/>
      <c r="B961" s="275" t="s">
        <v>504</v>
      </c>
      <c r="C961" s="276" t="s">
        <v>1964</v>
      </c>
      <c r="D961" s="276">
        <v>12</v>
      </c>
      <c r="E961" s="275">
        <v>69138775</v>
      </c>
      <c r="F961" s="275"/>
      <c r="G961" s="105" t="s">
        <v>1956</v>
      </c>
      <c r="H961" s="276">
        <v>12</v>
      </c>
      <c r="I961" s="275">
        <v>128686859</v>
      </c>
      <c r="J961" s="106"/>
      <c r="K961" s="107"/>
      <c r="L961" s="149"/>
    </row>
    <row r="962" spans="1:12" x14ac:dyDescent="0.25">
      <c r="A962" s="476"/>
      <c r="B962" s="275" t="s">
        <v>504</v>
      </c>
      <c r="C962" s="276" t="s">
        <v>1954</v>
      </c>
      <c r="D962" s="276">
        <v>12</v>
      </c>
      <c r="E962" s="275">
        <v>69139656</v>
      </c>
      <c r="F962" s="275"/>
      <c r="G962" s="105" t="s">
        <v>1956</v>
      </c>
      <c r="H962" s="276">
        <v>12</v>
      </c>
      <c r="I962" s="275">
        <v>128456418</v>
      </c>
      <c r="J962" s="106"/>
      <c r="K962" s="107"/>
      <c r="L962" s="149"/>
    </row>
    <row r="963" spans="1:12" x14ac:dyDescent="0.25">
      <c r="A963" s="476"/>
      <c r="B963" s="275" t="s">
        <v>504</v>
      </c>
      <c r="C963" s="276" t="s">
        <v>1954</v>
      </c>
      <c r="D963" s="276">
        <v>12</v>
      </c>
      <c r="E963" s="275">
        <v>69140197</v>
      </c>
      <c r="F963" s="275"/>
      <c r="G963" s="105" t="s">
        <v>1956</v>
      </c>
      <c r="H963" s="276">
        <v>12</v>
      </c>
      <c r="I963" s="275">
        <v>128633407</v>
      </c>
      <c r="J963" s="106"/>
      <c r="K963" s="107"/>
      <c r="L963" s="149"/>
    </row>
    <row r="964" spans="1:12" x14ac:dyDescent="0.25">
      <c r="A964" s="476"/>
      <c r="B964" s="275" t="s">
        <v>504</v>
      </c>
      <c r="C964" s="276" t="s">
        <v>1954</v>
      </c>
      <c r="D964" s="276">
        <v>12</v>
      </c>
      <c r="E964" s="275">
        <v>69146555</v>
      </c>
      <c r="F964" s="275"/>
      <c r="G964" s="105" t="s">
        <v>1956</v>
      </c>
      <c r="H964" s="276">
        <v>12</v>
      </c>
      <c r="I964" s="275">
        <v>69919799</v>
      </c>
      <c r="J964" s="106"/>
      <c r="K964" s="107"/>
      <c r="L964" s="149"/>
    </row>
    <row r="965" spans="1:12" x14ac:dyDescent="0.25">
      <c r="A965" s="476"/>
      <c r="B965" s="275" t="s">
        <v>504</v>
      </c>
      <c r="C965" s="276" t="s">
        <v>1964</v>
      </c>
      <c r="D965" s="276">
        <v>12</v>
      </c>
      <c r="E965" s="275">
        <v>69177730</v>
      </c>
      <c r="F965" s="275"/>
      <c r="G965" s="105" t="s">
        <v>1956</v>
      </c>
      <c r="H965" s="276">
        <v>12</v>
      </c>
      <c r="I965" s="275">
        <v>70175895</v>
      </c>
      <c r="J965" s="106"/>
      <c r="K965" s="107"/>
      <c r="L965" s="149"/>
    </row>
    <row r="966" spans="1:12" x14ac:dyDescent="0.25">
      <c r="A966" s="476"/>
      <c r="B966" s="275" t="s">
        <v>504</v>
      </c>
      <c r="C966" s="276" t="s">
        <v>1964</v>
      </c>
      <c r="D966" s="276">
        <v>12</v>
      </c>
      <c r="E966" s="275">
        <v>69182317</v>
      </c>
      <c r="F966" s="275"/>
      <c r="G966" s="105" t="s">
        <v>1956</v>
      </c>
      <c r="H966" s="276">
        <v>12</v>
      </c>
      <c r="I966" s="275">
        <v>70237384</v>
      </c>
      <c r="J966" s="106"/>
      <c r="K966" s="107"/>
      <c r="L966" s="149"/>
    </row>
    <row r="967" spans="1:12" x14ac:dyDescent="0.25">
      <c r="A967" s="476"/>
      <c r="B967" s="275" t="s">
        <v>504</v>
      </c>
      <c r="C967" s="276" t="s">
        <v>1954</v>
      </c>
      <c r="D967" s="276">
        <v>12</v>
      </c>
      <c r="E967" s="275">
        <v>69186050</v>
      </c>
      <c r="F967" s="275"/>
      <c r="G967" s="105" t="s">
        <v>1956</v>
      </c>
      <c r="H967" s="276">
        <v>12</v>
      </c>
      <c r="I967" s="275">
        <v>69978178</v>
      </c>
      <c r="J967" s="106"/>
      <c r="K967" s="107"/>
      <c r="L967" s="149"/>
    </row>
    <row r="968" spans="1:12" x14ac:dyDescent="0.25">
      <c r="A968" s="476"/>
      <c r="B968" s="275" t="s">
        <v>504</v>
      </c>
      <c r="C968" s="276" t="s">
        <v>1960</v>
      </c>
      <c r="D968" s="276">
        <v>12</v>
      </c>
      <c r="E968" s="275">
        <v>69195731</v>
      </c>
      <c r="F968" s="275"/>
      <c r="G968" s="105" t="s">
        <v>1956</v>
      </c>
      <c r="H968" s="276">
        <v>12</v>
      </c>
      <c r="I968" s="275">
        <v>69630400</v>
      </c>
      <c r="J968" s="106"/>
      <c r="K968" s="107"/>
      <c r="L968" s="149"/>
    </row>
    <row r="969" spans="1:12" x14ac:dyDescent="0.25">
      <c r="A969" s="476"/>
      <c r="B969" s="275" t="s">
        <v>504</v>
      </c>
      <c r="C969" s="276" t="s">
        <v>1960</v>
      </c>
      <c r="D969" s="276">
        <v>12</v>
      </c>
      <c r="E969" s="275">
        <v>69196925</v>
      </c>
      <c r="F969" s="275"/>
      <c r="G969" s="105" t="s">
        <v>1956</v>
      </c>
      <c r="H969" s="276">
        <v>12</v>
      </c>
      <c r="I969" s="275">
        <v>70109153</v>
      </c>
      <c r="J969" s="106"/>
      <c r="K969" s="107"/>
      <c r="L969" s="149"/>
    </row>
    <row r="970" spans="1:12" x14ac:dyDescent="0.25">
      <c r="A970" s="476"/>
      <c r="B970" s="275" t="s">
        <v>504</v>
      </c>
      <c r="C970" s="276" t="s">
        <v>1964</v>
      </c>
      <c r="D970" s="276">
        <v>12</v>
      </c>
      <c r="E970" s="275">
        <v>69199615</v>
      </c>
      <c r="F970" s="275"/>
      <c r="G970" s="105" t="s">
        <v>1956</v>
      </c>
      <c r="H970" s="276">
        <v>12</v>
      </c>
      <c r="I970" s="275">
        <v>69663066</v>
      </c>
      <c r="J970" s="106"/>
      <c r="K970" s="107"/>
      <c r="L970" s="149"/>
    </row>
    <row r="971" spans="1:12" x14ac:dyDescent="0.25">
      <c r="A971" s="476"/>
      <c r="B971" s="275" t="s">
        <v>504</v>
      </c>
      <c r="C971" s="276" t="s">
        <v>1954</v>
      </c>
      <c r="D971" s="276">
        <v>12</v>
      </c>
      <c r="E971" s="275">
        <v>69200484</v>
      </c>
      <c r="F971" s="275"/>
      <c r="G971" s="105" t="s">
        <v>1956</v>
      </c>
      <c r="H971" s="276">
        <v>12</v>
      </c>
      <c r="I971" s="275">
        <v>128120266</v>
      </c>
      <c r="J971" s="106"/>
      <c r="K971" s="107"/>
      <c r="L971" s="149"/>
    </row>
    <row r="972" spans="1:12" x14ac:dyDescent="0.25">
      <c r="A972" s="476"/>
      <c r="B972" s="275" t="s">
        <v>504</v>
      </c>
      <c r="C972" s="276" t="s">
        <v>1960</v>
      </c>
      <c r="D972" s="276">
        <v>12</v>
      </c>
      <c r="E972" s="275">
        <v>69200506</v>
      </c>
      <c r="F972" s="275"/>
      <c r="G972" s="105" t="s">
        <v>1956</v>
      </c>
      <c r="H972" s="276">
        <v>12</v>
      </c>
      <c r="I972" s="275">
        <v>128532325</v>
      </c>
      <c r="J972" s="106"/>
      <c r="K972" s="107"/>
      <c r="L972" s="149"/>
    </row>
    <row r="973" spans="1:12" x14ac:dyDescent="0.25">
      <c r="A973" s="476"/>
      <c r="B973" s="275" t="s">
        <v>504</v>
      </c>
      <c r="C973" s="276" t="s">
        <v>1964</v>
      </c>
      <c r="D973" s="276">
        <v>12</v>
      </c>
      <c r="E973" s="275">
        <v>69201126</v>
      </c>
      <c r="F973" s="275"/>
      <c r="G973" s="105" t="s">
        <v>1956</v>
      </c>
      <c r="H973" s="276">
        <v>12</v>
      </c>
      <c r="I973" s="275">
        <v>70330081</v>
      </c>
      <c r="J973" s="106"/>
      <c r="K973" s="107"/>
      <c r="L973" s="149"/>
    </row>
    <row r="974" spans="1:12" x14ac:dyDescent="0.25">
      <c r="A974" s="476"/>
      <c r="B974" s="275" t="s">
        <v>504</v>
      </c>
      <c r="C974" s="276" t="s">
        <v>1964</v>
      </c>
      <c r="D974" s="276">
        <v>12</v>
      </c>
      <c r="E974" s="275">
        <v>69203667</v>
      </c>
      <c r="F974" s="275"/>
      <c r="G974" s="105" t="s">
        <v>1956</v>
      </c>
      <c r="H974" s="276">
        <v>12</v>
      </c>
      <c r="I974" s="275">
        <v>69498071</v>
      </c>
      <c r="J974" s="106"/>
      <c r="K974" s="107"/>
      <c r="L974" s="149"/>
    </row>
    <row r="975" spans="1:12" x14ac:dyDescent="0.25">
      <c r="A975" s="476"/>
      <c r="B975" s="275" t="s">
        <v>504</v>
      </c>
      <c r="C975" s="276" t="s">
        <v>1964</v>
      </c>
      <c r="D975" s="276">
        <v>12</v>
      </c>
      <c r="E975" s="275">
        <v>69207631</v>
      </c>
      <c r="F975" s="275"/>
      <c r="G975" s="105" t="s">
        <v>1956</v>
      </c>
      <c r="H975" s="276">
        <v>12</v>
      </c>
      <c r="I975" s="275">
        <v>71161272</v>
      </c>
      <c r="J975" s="106"/>
      <c r="K975" s="107"/>
      <c r="L975" s="149"/>
    </row>
    <row r="976" spans="1:12" x14ac:dyDescent="0.25">
      <c r="A976" s="476"/>
      <c r="B976" s="275" t="s">
        <v>504</v>
      </c>
      <c r="C976" s="276" t="s">
        <v>1954</v>
      </c>
      <c r="D976" s="276">
        <v>12</v>
      </c>
      <c r="E976" s="275">
        <v>69211775</v>
      </c>
      <c r="F976" s="275"/>
      <c r="G976" s="105" t="s">
        <v>1956</v>
      </c>
      <c r="H976" s="276">
        <v>12</v>
      </c>
      <c r="I976" s="275">
        <v>70024110</v>
      </c>
      <c r="J976" s="106"/>
      <c r="K976" s="107"/>
      <c r="L976" s="149"/>
    </row>
    <row r="977" spans="1:12" x14ac:dyDescent="0.25">
      <c r="A977" s="476"/>
      <c r="B977" s="275" t="s">
        <v>504</v>
      </c>
      <c r="C977" s="276" t="s">
        <v>1960</v>
      </c>
      <c r="D977" s="276">
        <v>12</v>
      </c>
      <c r="E977" s="275">
        <v>69219381</v>
      </c>
      <c r="F977" s="275"/>
      <c r="G977" s="105" t="s">
        <v>1956</v>
      </c>
      <c r="H977" s="276">
        <v>12</v>
      </c>
      <c r="I977" s="275">
        <v>128017533</v>
      </c>
      <c r="J977" s="106"/>
      <c r="K977" s="107"/>
      <c r="L977" s="149"/>
    </row>
    <row r="978" spans="1:12" x14ac:dyDescent="0.25">
      <c r="A978" s="476"/>
      <c r="B978" s="275" t="s">
        <v>504</v>
      </c>
      <c r="C978" s="276" t="s">
        <v>1964</v>
      </c>
      <c r="D978" s="276">
        <v>12</v>
      </c>
      <c r="E978" s="275">
        <v>69226302</v>
      </c>
      <c r="F978" s="275"/>
      <c r="G978" s="105" t="s">
        <v>1956</v>
      </c>
      <c r="H978" s="276">
        <v>12</v>
      </c>
      <c r="I978" s="275">
        <v>128027926</v>
      </c>
      <c r="J978" s="106"/>
      <c r="K978" s="107"/>
      <c r="L978" s="149"/>
    </row>
    <row r="979" spans="1:12" x14ac:dyDescent="0.25">
      <c r="A979" s="476"/>
      <c r="B979" s="275" t="s">
        <v>504</v>
      </c>
      <c r="C979" s="276" t="s">
        <v>1954</v>
      </c>
      <c r="D979" s="276">
        <v>12</v>
      </c>
      <c r="E979" s="275">
        <v>69228582</v>
      </c>
      <c r="F979" s="275"/>
      <c r="G979" s="105" t="s">
        <v>1956</v>
      </c>
      <c r="H979" s="276">
        <v>12</v>
      </c>
      <c r="I979" s="275">
        <v>128174700</v>
      </c>
      <c r="J979" s="106"/>
      <c r="K979" s="107"/>
      <c r="L979" s="149"/>
    </row>
    <row r="980" spans="1:12" x14ac:dyDescent="0.25">
      <c r="A980" s="476"/>
      <c r="B980" s="275" t="s">
        <v>504</v>
      </c>
      <c r="C980" s="276" t="s">
        <v>1964</v>
      </c>
      <c r="D980" s="276">
        <v>12</v>
      </c>
      <c r="E980" s="275">
        <v>69228687</v>
      </c>
      <c r="F980" s="275"/>
      <c r="G980" s="105" t="s">
        <v>1956</v>
      </c>
      <c r="H980" s="276">
        <v>12</v>
      </c>
      <c r="I980" s="275">
        <v>69429775</v>
      </c>
      <c r="J980" s="106"/>
      <c r="K980" s="107"/>
      <c r="L980" s="149"/>
    </row>
    <row r="981" spans="1:12" x14ac:dyDescent="0.25">
      <c r="A981" s="476"/>
      <c r="B981" s="275" t="s">
        <v>504</v>
      </c>
      <c r="C981" s="276" t="s">
        <v>1960</v>
      </c>
      <c r="D981" s="276">
        <v>12</v>
      </c>
      <c r="E981" s="275">
        <v>69229280</v>
      </c>
      <c r="F981" s="275"/>
      <c r="G981" s="105" t="s">
        <v>1956</v>
      </c>
      <c r="H981" s="276">
        <v>12</v>
      </c>
      <c r="I981" s="275">
        <v>69970975</v>
      </c>
      <c r="J981" s="106"/>
      <c r="K981" s="107"/>
      <c r="L981" s="149"/>
    </row>
    <row r="982" spans="1:12" x14ac:dyDescent="0.25">
      <c r="A982" s="476"/>
      <c r="B982" s="275" t="s">
        <v>504</v>
      </c>
      <c r="C982" s="276" t="s">
        <v>1960</v>
      </c>
      <c r="D982" s="276">
        <v>12</v>
      </c>
      <c r="E982" s="275">
        <v>69231650</v>
      </c>
      <c r="F982" s="275"/>
      <c r="G982" s="105" t="s">
        <v>1956</v>
      </c>
      <c r="H982" s="276">
        <v>12</v>
      </c>
      <c r="I982" s="275">
        <v>69274777</v>
      </c>
      <c r="J982" s="106"/>
      <c r="K982" s="107"/>
      <c r="L982" s="149"/>
    </row>
    <row r="983" spans="1:12" x14ac:dyDescent="0.25">
      <c r="A983" s="476"/>
      <c r="B983" s="275" t="s">
        <v>504</v>
      </c>
      <c r="C983" s="276" t="s">
        <v>1964</v>
      </c>
      <c r="D983" s="276">
        <v>12</v>
      </c>
      <c r="E983" s="275">
        <v>69231827</v>
      </c>
      <c r="F983" s="275"/>
      <c r="G983" s="105" t="s">
        <v>1956</v>
      </c>
      <c r="H983" s="276">
        <v>12</v>
      </c>
      <c r="I983" s="275">
        <v>70021287</v>
      </c>
      <c r="J983" s="106"/>
      <c r="K983" s="107"/>
      <c r="L983" s="149"/>
    </row>
    <row r="984" spans="1:12" x14ac:dyDescent="0.25">
      <c r="A984" s="476"/>
      <c r="B984" s="275" t="s">
        <v>504</v>
      </c>
      <c r="C984" s="276" t="s">
        <v>1964</v>
      </c>
      <c r="D984" s="276">
        <v>12</v>
      </c>
      <c r="E984" s="275">
        <v>69235660</v>
      </c>
      <c r="F984" s="275"/>
      <c r="G984" s="105" t="s">
        <v>1956</v>
      </c>
      <c r="H984" s="276">
        <v>12</v>
      </c>
      <c r="I984" s="275">
        <v>128173236</v>
      </c>
      <c r="J984" s="106"/>
      <c r="K984" s="107"/>
      <c r="L984" s="149"/>
    </row>
    <row r="985" spans="1:12" x14ac:dyDescent="0.25">
      <c r="A985" s="476"/>
      <c r="B985" s="275" t="s">
        <v>504</v>
      </c>
      <c r="C985" s="276" t="s">
        <v>1964</v>
      </c>
      <c r="D985" s="276">
        <v>12</v>
      </c>
      <c r="E985" s="275">
        <v>69236081</v>
      </c>
      <c r="F985" s="275"/>
      <c r="G985" s="105" t="s">
        <v>1956</v>
      </c>
      <c r="H985" s="276">
        <v>12</v>
      </c>
      <c r="I985" s="275">
        <v>128525068</v>
      </c>
      <c r="J985" s="106"/>
      <c r="K985" s="107"/>
      <c r="L985" s="149"/>
    </row>
    <row r="986" spans="1:12" x14ac:dyDescent="0.25">
      <c r="A986" s="476"/>
      <c r="B986" s="275" t="s">
        <v>504</v>
      </c>
      <c r="C986" s="276" t="s">
        <v>1954</v>
      </c>
      <c r="D986" s="276">
        <v>12</v>
      </c>
      <c r="E986" s="275">
        <v>69244890</v>
      </c>
      <c r="F986" s="275"/>
      <c r="G986" s="105" t="s">
        <v>1956</v>
      </c>
      <c r="H986" s="276">
        <v>12</v>
      </c>
      <c r="I986" s="275">
        <v>69634851</v>
      </c>
      <c r="J986" s="106"/>
      <c r="K986" s="107"/>
      <c r="L986" s="149"/>
    </row>
    <row r="987" spans="1:12" x14ac:dyDescent="0.25">
      <c r="A987" s="476"/>
      <c r="B987" s="275" t="s">
        <v>504</v>
      </c>
      <c r="C987" s="276" t="s">
        <v>1954</v>
      </c>
      <c r="D987" s="276">
        <v>12</v>
      </c>
      <c r="E987" s="275">
        <v>69246301</v>
      </c>
      <c r="F987" s="275"/>
      <c r="G987" s="105" t="s">
        <v>1956</v>
      </c>
      <c r="H987" s="276">
        <v>12</v>
      </c>
      <c r="I987" s="275">
        <v>69574487</v>
      </c>
      <c r="J987" s="106"/>
      <c r="K987" s="107"/>
      <c r="L987" s="149"/>
    </row>
    <row r="988" spans="1:12" x14ac:dyDescent="0.25">
      <c r="A988" s="476"/>
      <c r="B988" s="275" t="s">
        <v>504</v>
      </c>
      <c r="C988" s="276" t="s">
        <v>1964</v>
      </c>
      <c r="D988" s="276">
        <v>12</v>
      </c>
      <c r="E988" s="275">
        <v>69251792</v>
      </c>
      <c r="F988" s="275"/>
      <c r="G988" s="105" t="s">
        <v>1956</v>
      </c>
      <c r="H988" s="276">
        <v>12</v>
      </c>
      <c r="I988" s="275">
        <v>69261688</v>
      </c>
      <c r="J988" s="106"/>
      <c r="K988" s="107"/>
      <c r="L988" s="149"/>
    </row>
    <row r="989" spans="1:12" x14ac:dyDescent="0.25">
      <c r="A989" s="476"/>
      <c r="B989" s="275" t="s">
        <v>504</v>
      </c>
      <c r="C989" s="276" t="s">
        <v>1960</v>
      </c>
      <c r="D989" s="276">
        <v>12</v>
      </c>
      <c r="E989" s="275">
        <v>69257279</v>
      </c>
      <c r="F989" s="275"/>
      <c r="G989" s="105" t="s">
        <v>1956</v>
      </c>
      <c r="H989" s="276">
        <v>12</v>
      </c>
      <c r="I989" s="275">
        <v>69370309</v>
      </c>
      <c r="J989" s="106"/>
      <c r="K989" s="107"/>
      <c r="L989" s="149"/>
    </row>
    <row r="990" spans="1:12" x14ac:dyDescent="0.25">
      <c r="A990" s="476"/>
      <c r="B990" s="275" t="s">
        <v>504</v>
      </c>
      <c r="C990" s="276" t="s">
        <v>1964</v>
      </c>
      <c r="D990" s="276">
        <v>12</v>
      </c>
      <c r="E990" s="275">
        <v>69261674</v>
      </c>
      <c r="F990" s="275"/>
      <c r="G990" s="105" t="s">
        <v>1956</v>
      </c>
      <c r="H990" s="276">
        <v>12</v>
      </c>
      <c r="I990" s="275">
        <v>69965473</v>
      </c>
      <c r="J990" s="106"/>
      <c r="K990" s="107"/>
      <c r="L990" s="149"/>
    </row>
    <row r="991" spans="1:12" x14ac:dyDescent="0.25">
      <c r="A991" s="476"/>
      <c r="B991" s="275" t="s">
        <v>504</v>
      </c>
      <c r="C991" s="276" t="s">
        <v>1960</v>
      </c>
      <c r="D991" s="276">
        <v>12</v>
      </c>
      <c r="E991" s="275">
        <v>69264754</v>
      </c>
      <c r="F991" s="275"/>
      <c r="G991" s="105" t="s">
        <v>1956</v>
      </c>
      <c r="H991" s="276">
        <v>12</v>
      </c>
      <c r="I991" s="275">
        <v>128118237</v>
      </c>
      <c r="J991" s="106"/>
      <c r="K991" s="107"/>
      <c r="L991" s="149"/>
    </row>
    <row r="992" spans="1:12" x14ac:dyDescent="0.25">
      <c r="A992" s="476"/>
      <c r="B992" s="275" t="s">
        <v>504</v>
      </c>
      <c r="C992" s="276" t="s">
        <v>1964</v>
      </c>
      <c r="D992" s="276">
        <v>12</v>
      </c>
      <c r="E992" s="275">
        <v>69265274</v>
      </c>
      <c r="F992" s="275"/>
      <c r="G992" s="105" t="s">
        <v>1956</v>
      </c>
      <c r="H992" s="276">
        <v>12</v>
      </c>
      <c r="I992" s="275">
        <v>128774482</v>
      </c>
      <c r="J992" s="106"/>
      <c r="K992" s="107"/>
      <c r="L992" s="149"/>
    </row>
    <row r="993" spans="1:12" x14ac:dyDescent="0.25">
      <c r="A993" s="476"/>
      <c r="B993" s="275" t="s">
        <v>504</v>
      </c>
      <c r="C993" s="276" t="s">
        <v>1954</v>
      </c>
      <c r="D993" s="276">
        <v>12</v>
      </c>
      <c r="E993" s="275">
        <v>69272032</v>
      </c>
      <c r="F993" s="275"/>
      <c r="G993" s="105" t="s">
        <v>1956</v>
      </c>
      <c r="H993" s="276">
        <v>12</v>
      </c>
      <c r="I993" s="275">
        <v>70387246</v>
      </c>
      <c r="J993" s="106"/>
      <c r="K993" s="107"/>
      <c r="L993" s="149"/>
    </row>
    <row r="994" spans="1:12" x14ac:dyDescent="0.25">
      <c r="A994" s="476"/>
      <c r="B994" s="275" t="s">
        <v>504</v>
      </c>
      <c r="C994" s="276" t="s">
        <v>1964</v>
      </c>
      <c r="D994" s="276">
        <v>12</v>
      </c>
      <c r="E994" s="275">
        <v>69272142</v>
      </c>
      <c r="F994" s="275"/>
      <c r="G994" s="105" t="s">
        <v>1956</v>
      </c>
      <c r="H994" s="276">
        <v>12</v>
      </c>
      <c r="I994" s="275">
        <v>69272284</v>
      </c>
      <c r="J994" s="106"/>
      <c r="K994" s="107"/>
      <c r="L994" s="149"/>
    </row>
    <row r="995" spans="1:12" x14ac:dyDescent="0.25">
      <c r="A995" s="476"/>
      <c r="B995" s="275" t="s">
        <v>504</v>
      </c>
      <c r="C995" s="276" t="s">
        <v>1964</v>
      </c>
      <c r="D995" s="276">
        <v>12</v>
      </c>
      <c r="E995" s="275">
        <v>69272149</v>
      </c>
      <c r="F995" s="275"/>
      <c r="G995" s="105" t="s">
        <v>1956</v>
      </c>
      <c r="H995" s="276">
        <v>12</v>
      </c>
      <c r="I995" s="275">
        <v>70387263</v>
      </c>
      <c r="J995" s="106"/>
      <c r="K995" s="107"/>
      <c r="L995" s="149"/>
    </row>
    <row r="996" spans="1:12" x14ac:dyDescent="0.25">
      <c r="A996" s="476"/>
      <c r="B996" s="275" t="s">
        <v>504</v>
      </c>
      <c r="C996" s="276" t="s">
        <v>1960</v>
      </c>
      <c r="D996" s="276">
        <v>12</v>
      </c>
      <c r="E996" s="275">
        <v>69276490</v>
      </c>
      <c r="F996" s="275"/>
      <c r="G996" s="105" t="s">
        <v>1956</v>
      </c>
      <c r="H996" s="276">
        <v>12</v>
      </c>
      <c r="I996" s="275">
        <v>69341530</v>
      </c>
      <c r="J996" s="106"/>
      <c r="K996" s="107"/>
      <c r="L996" s="149"/>
    </row>
    <row r="997" spans="1:12" x14ac:dyDescent="0.25">
      <c r="A997" s="476"/>
      <c r="B997" s="275" t="s">
        <v>504</v>
      </c>
      <c r="C997" s="276" t="s">
        <v>1960</v>
      </c>
      <c r="D997" s="276">
        <v>12</v>
      </c>
      <c r="E997" s="275">
        <v>69278425</v>
      </c>
      <c r="F997" s="275"/>
      <c r="G997" s="105" t="s">
        <v>1956</v>
      </c>
      <c r="H997" s="276">
        <v>12</v>
      </c>
      <c r="I997" s="275">
        <v>71015660</v>
      </c>
      <c r="J997" s="106"/>
      <c r="K997" s="107"/>
      <c r="L997" s="149"/>
    </row>
    <row r="998" spans="1:12" x14ac:dyDescent="0.25">
      <c r="A998" s="476"/>
      <c r="B998" s="275" t="s">
        <v>504</v>
      </c>
      <c r="C998" s="276" t="s">
        <v>1964</v>
      </c>
      <c r="D998" s="276">
        <v>12</v>
      </c>
      <c r="E998" s="275">
        <v>69278590</v>
      </c>
      <c r="F998" s="275"/>
      <c r="G998" s="105" t="s">
        <v>1956</v>
      </c>
      <c r="H998" s="276">
        <v>12</v>
      </c>
      <c r="I998" s="275">
        <v>69956723</v>
      </c>
      <c r="J998" s="106"/>
      <c r="K998" s="107"/>
      <c r="L998" s="149"/>
    </row>
    <row r="999" spans="1:12" x14ac:dyDescent="0.25">
      <c r="A999" s="476"/>
      <c r="B999" s="275" t="s">
        <v>504</v>
      </c>
      <c r="C999" s="276" t="s">
        <v>1960</v>
      </c>
      <c r="D999" s="276">
        <v>12</v>
      </c>
      <c r="E999" s="275">
        <v>69279290</v>
      </c>
      <c r="F999" s="275"/>
      <c r="G999" s="105" t="s">
        <v>1956</v>
      </c>
      <c r="H999" s="276">
        <v>12</v>
      </c>
      <c r="I999" s="275">
        <v>128083438</v>
      </c>
      <c r="J999" s="106"/>
      <c r="K999" s="107"/>
      <c r="L999" s="149"/>
    </row>
    <row r="1000" spans="1:12" x14ac:dyDescent="0.25">
      <c r="A1000" s="476"/>
      <c r="B1000" s="275" t="s">
        <v>504</v>
      </c>
      <c r="C1000" s="276" t="s">
        <v>1964</v>
      </c>
      <c r="D1000" s="276">
        <v>12</v>
      </c>
      <c r="E1000" s="275">
        <v>69324487</v>
      </c>
      <c r="F1000" s="275"/>
      <c r="G1000" s="105" t="s">
        <v>1956</v>
      </c>
      <c r="H1000" s="276">
        <v>12</v>
      </c>
      <c r="I1000" s="275">
        <v>70205054</v>
      </c>
      <c r="J1000" s="106"/>
      <c r="K1000" s="107"/>
      <c r="L1000" s="149"/>
    </row>
    <row r="1001" spans="1:12" x14ac:dyDescent="0.25">
      <c r="A1001" s="476"/>
      <c r="B1001" s="275" t="s">
        <v>504</v>
      </c>
      <c r="C1001" s="276" t="s">
        <v>1960</v>
      </c>
      <c r="D1001" s="276">
        <v>12</v>
      </c>
      <c r="E1001" s="275">
        <v>69324673</v>
      </c>
      <c r="F1001" s="275"/>
      <c r="G1001" s="105" t="s">
        <v>1956</v>
      </c>
      <c r="H1001" s="276">
        <v>12</v>
      </c>
      <c r="I1001" s="275">
        <v>69419141</v>
      </c>
      <c r="J1001" s="106"/>
      <c r="K1001" s="107"/>
      <c r="L1001" s="149"/>
    </row>
    <row r="1002" spans="1:12" x14ac:dyDescent="0.25">
      <c r="A1002" s="476"/>
      <c r="B1002" s="275" t="s">
        <v>504</v>
      </c>
      <c r="C1002" s="276" t="s">
        <v>1954</v>
      </c>
      <c r="D1002" s="276">
        <v>12</v>
      </c>
      <c r="E1002" s="275">
        <v>69330135</v>
      </c>
      <c r="F1002" s="275"/>
      <c r="G1002" s="105" t="s">
        <v>1956</v>
      </c>
      <c r="H1002" s="276">
        <v>12</v>
      </c>
      <c r="I1002" s="275">
        <v>69977862</v>
      </c>
      <c r="J1002" s="106"/>
      <c r="K1002" s="107"/>
      <c r="L1002" s="149"/>
    </row>
    <row r="1003" spans="1:12" x14ac:dyDescent="0.25">
      <c r="A1003" s="476"/>
      <c r="B1003" s="275" t="s">
        <v>504</v>
      </c>
      <c r="C1003" s="276" t="s">
        <v>1964</v>
      </c>
      <c r="D1003" s="276">
        <v>12</v>
      </c>
      <c r="E1003" s="275">
        <v>69330960</v>
      </c>
      <c r="F1003" s="275"/>
      <c r="G1003" s="105" t="s">
        <v>1956</v>
      </c>
      <c r="H1003" s="276">
        <v>12</v>
      </c>
      <c r="I1003" s="275">
        <v>69656108</v>
      </c>
      <c r="J1003" s="106"/>
      <c r="K1003" s="107"/>
      <c r="L1003" s="149"/>
    </row>
    <row r="1004" spans="1:12" x14ac:dyDescent="0.25">
      <c r="A1004" s="476"/>
      <c r="B1004" s="275" t="s">
        <v>504</v>
      </c>
      <c r="C1004" s="276" t="s">
        <v>1960</v>
      </c>
      <c r="D1004" s="276">
        <v>12</v>
      </c>
      <c r="E1004" s="275">
        <v>69331522</v>
      </c>
      <c r="F1004" s="275"/>
      <c r="G1004" s="105" t="s">
        <v>1956</v>
      </c>
      <c r="H1004" s="276">
        <v>12</v>
      </c>
      <c r="I1004" s="275">
        <v>70462626</v>
      </c>
      <c r="J1004" s="106"/>
      <c r="K1004" s="107"/>
      <c r="L1004" s="149"/>
    </row>
    <row r="1005" spans="1:12" x14ac:dyDescent="0.25">
      <c r="A1005" s="476"/>
      <c r="B1005" s="275" t="s">
        <v>504</v>
      </c>
      <c r="C1005" s="276" t="s">
        <v>1954</v>
      </c>
      <c r="D1005" s="276">
        <v>12</v>
      </c>
      <c r="E1005" s="275">
        <v>69337289</v>
      </c>
      <c r="F1005" s="275"/>
      <c r="G1005" s="105" t="s">
        <v>1956</v>
      </c>
      <c r="H1005" s="276">
        <v>12</v>
      </c>
      <c r="I1005" s="275">
        <v>69833779</v>
      </c>
      <c r="J1005" s="106"/>
      <c r="K1005" s="107"/>
      <c r="L1005" s="149"/>
    </row>
    <row r="1006" spans="1:12" x14ac:dyDescent="0.25">
      <c r="A1006" s="476"/>
      <c r="B1006" s="275" t="s">
        <v>504</v>
      </c>
      <c r="C1006" s="276" t="s">
        <v>1964</v>
      </c>
      <c r="D1006" s="276">
        <v>12</v>
      </c>
      <c r="E1006" s="275">
        <v>69341098</v>
      </c>
      <c r="F1006" s="275"/>
      <c r="G1006" s="105" t="s">
        <v>1956</v>
      </c>
      <c r="H1006" s="276">
        <v>12</v>
      </c>
      <c r="I1006" s="275">
        <v>70697744</v>
      </c>
      <c r="J1006" s="106"/>
      <c r="K1006" s="107"/>
      <c r="L1006" s="149"/>
    </row>
    <row r="1007" spans="1:12" x14ac:dyDescent="0.25">
      <c r="A1007" s="476"/>
      <c r="B1007" s="275" t="s">
        <v>504</v>
      </c>
      <c r="C1007" s="276" t="s">
        <v>1954</v>
      </c>
      <c r="D1007" s="276">
        <v>12</v>
      </c>
      <c r="E1007" s="275">
        <v>69342052</v>
      </c>
      <c r="F1007" s="275"/>
      <c r="G1007" s="105" t="s">
        <v>1956</v>
      </c>
      <c r="H1007" s="276">
        <v>12</v>
      </c>
      <c r="I1007" s="275">
        <v>128639232</v>
      </c>
      <c r="J1007" s="106"/>
      <c r="K1007" s="107"/>
      <c r="L1007" s="149"/>
    </row>
    <row r="1008" spans="1:12" x14ac:dyDescent="0.25">
      <c r="A1008" s="476"/>
      <c r="B1008" s="275" t="s">
        <v>504</v>
      </c>
      <c r="C1008" s="276" t="s">
        <v>1964</v>
      </c>
      <c r="D1008" s="276">
        <v>12</v>
      </c>
      <c r="E1008" s="275">
        <v>69346061</v>
      </c>
      <c r="F1008" s="275"/>
      <c r="G1008" s="105" t="s">
        <v>1956</v>
      </c>
      <c r="H1008" s="276">
        <v>12</v>
      </c>
      <c r="I1008" s="275">
        <v>69703852</v>
      </c>
      <c r="J1008" s="106"/>
      <c r="K1008" s="107"/>
      <c r="L1008" s="149"/>
    </row>
    <row r="1009" spans="1:12" x14ac:dyDescent="0.25">
      <c r="A1009" s="476"/>
      <c r="B1009" s="275" t="s">
        <v>504</v>
      </c>
      <c r="C1009" s="276" t="s">
        <v>1964</v>
      </c>
      <c r="D1009" s="276">
        <v>12</v>
      </c>
      <c r="E1009" s="275">
        <v>69348973</v>
      </c>
      <c r="F1009" s="275"/>
      <c r="G1009" s="105" t="s">
        <v>1956</v>
      </c>
      <c r="H1009" s="276">
        <v>12</v>
      </c>
      <c r="I1009" s="275">
        <v>69635198</v>
      </c>
      <c r="J1009" s="106"/>
      <c r="K1009" s="107"/>
      <c r="L1009" s="149"/>
    </row>
    <row r="1010" spans="1:12" x14ac:dyDescent="0.25">
      <c r="A1010" s="476"/>
      <c r="B1010" s="275" t="s">
        <v>504</v>
      </c>
      <c r="C1010" s="276" t="s">
        <v>1964</v>
      </c>
      <c r="D1010" s="276">
        <v>12</v>
      </c>
      <c r="E1010" s="275">
        <v>69350247</v>
      </c>
      <c r="F1010" s="275"/>
      <c r="G1010" s="105" t="s">
        <v>1956</v>
      </c>
      <c r="H1010" s="276">
        <v>12</v>
      </c>
      <c r="I1010" s="275">
        <v>70467530</v>
      </c>
      <c r="J1010" s="106"/>
      <c r="K1010" s="107"/>
      <c r="L1010" s="149"/>
    </row>
    <row r="1011" spans="1:12" x14ac:dyDescent="0.25">
      <c r="A1011" s="476"/>
      <c r="B1011" s="275" t="s">
        <v>504</v>
      </c>
      <c r="C1011" s="276" t="s">
        <v>1964</v>
      </c>
      <c r="D1011" s="276">
        <v>12</v>
      </c>
      <c r="E1011" s="275">
        <v>69361143</v>
      </c>
      <c r="F1011" s="275"/>
      <c r="G1011" s="105" t="s">
        <v>1956</v>
      </c>
      <c r="H1011" s="276">
        <v>12</v>
      </c>
      <c r="I1011" s="275">
        <v>128485950</v>
      </c>
      <c r="J1011" s="106"/>
      <c r="K1011" s="107"/>
      <c r="L1011" s="149"/>
    </row>
    <row r="1012" spans="1:12" x14ac:dyDescent="0.25">
      <c r="A1012" s="476"/>
      <c r="B1012" s="275" t="s">
        <v>504</v>
      </c>
      <c r="C1012" s="276" t="s">
        <v>1964</v>
      </c>
      <c r="D1012" s="276">
        <v>12</v>
      </c>
      <c r="E1012" s="275">
        <v>69368043</v>
      </c>
      <c r="F1012" s="275"/>
      <c r="G1012" s="105" t="s">
        <v>1956</v>
      </c>
      <c r="H1012" s="276">
        <v>12</v>
      </c>
      <c r="I1012" s="275">
        <v>128058492</v>
      </c>
      <c r="J1012" s="106"/>
      <c r="K1012" s="107"/>
      <c r="L1012" s="149"/>
    </row>
    <row r="1013" spans="1:12" x14ac:dyDescent="0.25">
      <c r="A1013" s="476"/>
      <c r="B1013" s="275" t="s">
        <v>504</v>
      </c>
      <c r="C1013" s="276" t="s">
        <v>1960</v>
      </c>
      <c r="D1013" s="276">
        <v>12</v>
      </c>
      <c r="E1013" s="275">
        <v>69369303</v>
      </c>
      <c r="F1013" s="275"/>
      <c r="G1013" s="105" t="s">
        <v>1956</v>
      </c>
      <c r="H1013" s="276">
        <v>12</v>
      </c>
      <c r="I1013" s="275">
        <v>70420068</v>
      </c>
      <c r="J1013" s="106"/>
      <c r="K1013" s="107"/>
      <c r="L1013" s="149"/>
    </row>
    <row r="1014" spans="1:12" x14ac:dyDescent="0.25">
      <c r="A1014" s="476"/>
      <c r="B1014" s="275" t="s">
        <v>504</v>
      </c>
      <c r="C1014" s="276" t="s">
        <v>1964</v>
      </c>
      <c r="D1014" s="276">
        <v>12</v>
      </c>
      <c r="E1014" s="275">
        <v>69375329</v>
      </c>
      <c r="F1014" s="275"/>
      <c r="G1014" s="105" t="s">
        <v>1956</v>
      </c>
      <c r="H1014" s="276">
        <v>12</v>
      </c>
      <c r="I1014" s="275">
        <v>128571616</v>
      </c>
      <c r="J1014" s="106"/>
      <c r="K1014" s="107"/>
      <c r="L1014" s="149"/>
    </row>
    <row r="1015" spans="1:12" x14ac:dyDescent="0.25">
      <c r="A1015" s="476"/>
      <c r="B1015" s="275" t="s">
        <v>504</v>
      </c>
      <c r="C1015" s="276" t="s">
        <v>1964</v>
      </c>
      <c r="D1015" s="276">
        <v>12</v>
      </c>
      <c r="E1015" s="275">
        <v>69376654</v>
      </c>
      <c r="F1015" s="275"/>
      <c r="G1015" s="105" t="s">
        <v>1956</v>
      </c>
      <c r="H1015" s="276">
        <v>12</v>
      </c>
      <c r="I1015" s="275">
        <v>69963707</v>
      </c>
      <c r="J1015" s="106"/>
      <c r="K1015" s="107"/>
      <c r="L1015" s="149"/>
    </row>
    <row r="1016" spans="1:12" x14ac:dyDescent="0.25">
      <c r="A1016" s="476"/>
      <c r="B1016" s="275" t="s">
        <v>504</v>
      </c>
      <c r="C1016" s="276" t="s">
        <v>1960</v>
      </c>
      <c r="D1016" s="276">
        <v>12</v>
      </c>
      <c r="E1016" s="275">
        <v>69376941</v>
      </c>
      <c r="F1016" s="275"/>
      <c r="G1016" s="105" t="s">
        <v>1956</v>
      </c>
      <c r="H1016" s="276">
        <v>12</v>
      </c>
      <c r="I1016" s="275">
        <v>69431971</v>
      </c>
      <c r="J1016" s="106"/>
      <c r="K1016" s="107"/>
      <c r="L1016" s="149"/>
    </row>
    <row r="1017" spans="1:12" x14ac:dyDescent="0.25">
      <c r="A1017" s="476"/>
      <c r="B1017" s="275" t="s">
        <v>504</v>
      </c>
      <c r="C1017" s="276" t="s">
        <v>1964</v>
      </c>
      <c r="D1017" s="276">
        <v>12</v>
      </c>
      <c r="E1017" s="275">
        <v>69386444</v>
      </c>
      <c r="F1017" s="275"/>
      <c r="G1017" s="105" t="s">
        <v>1956</v>
      </c>
      <c r="H1017" s="276">
        <v>12</v>
      </c>
      <c r="I1017" s="275">
        <v>69460996</v>
      </c>
      <c r="J1017" s="106"/>
      <c r="K1017" s="107"/>
      <c r="L1017" s="149"/>
    </row>
    <row r="1018" spans="1:12" x14ac:dyDescent="0.25">
      <c r="A1018" s="476"/>
      <c r="B1018" s="275" t="s">
        <v>504</v>
      </c>
      <c r="C1018" s="276" t="s">
        <v>1964</v>
      </c>
      <c r="D1018" s="276">
        <v>12</v>
      </c>
      <c r="E1018" s="275">
        <v>69396437</v>
      </c>
      <c r="F1018" s="275"/>
      <c r="G1018" s="105" t="s">
        <v>1956</v>
      </c>
      <c r="H1018" s="276">
        <v>12</v>
      </c>
      <c r="I1018" s="275">
        <v>128314373</v>
      </c>
      <c r="J1018" s="106"/>
      <c r="K1018" s="107"/>
      <c r="L1018" s="149"/>
    </row>
    <row r="1019" spans="1:12" x14ac:dyDescent="0.25">
      <c r="A1019" s="476"/>
      <c r="B1019" s="275" t="s">
        <v>504</v>
      </c>
      <c r="C1019" s="276" t="s">
        <v>1960</v>
      </c>
      <c r="D1019" s="276">
        <v>12</v>
      </c>
      <c r="E1019" s="275">
        <v>69399878</v>
      </c>
      <c r="F1019" s="275"/>
      <c r="G1019" s="105" t="s">
        <v>1956</v>
      </c>
      <c r="H1019" s="276">
        <v>12</v>
      </c>
      <c r="I1019" s="275">
        <v>128775216</v>
      </c>
      <c r="J1019" s="106"/>
      <c r="K1019" s="107"/>
      <c r="L1019" s="149"/>
    </row>
    <row r="1020" spans="1:12" x14ac:dyDescent="0.25">
      <c r="A1020" s="476"/>
      <c r="B1020" s="275" t="s">
        <v>504</v>
      </c>
      <c r="C1020" s="276" t="s">
        <v>1964</v>
      </c>
      <c r="D1020" s="276">
        <v>12</v>
      </c>
      <c r="E1020" s="275">
        <v>69408643</v>
      </c>
      <c r="F1020" s="275"/>
      <c r="G1020" s="105" t="s">
        <v>1956</v>
      </c>
      <c r="H1020" s="276">
        <v>12</v>
      </c>
      <c r="I1020" s="275">
        <v>128064000</v>
      </c>
      <c r="J1020" s="106"/>
      <c r="K1020" s="107"/>
      <c r="L1020" s="149"/>
    </row>
    <row r="1021" spans="1:12" x14ac:dyDescent="0.25">
      <c r="A1021" s="476"/>
      <c r="B1021" s="275" t="s">
        <v>504</v>
      </c>
      <c r="C1021" s="276" t="s">
        <v>1954</v>
      </c>
      <c r="D1021" s="276">
        <v>12</v>
      </c>
      <c r="E1021" s="275">
        <v>69411873</v>
      </c>
      <c r="F1021" s="275"/>
      <c r="G1021" s="105" t="s">
        <v>1956</v>
      </c>
      <c r="H1021" s="276">
        <v>12</v>
      </c>
      <c r="I1021" s="275">
        <v>69498294</v>
      </c>
      <c r="J1021" s="106"/>
      <c r="K1021" s="107"/>
      <c r="L1021" s="149"/>
    </row>
    <row r="1022" spans="1:12" x14ac:dyDescent="0.25">
      <c r="A1022" s="476"/>
      <c r="B1022" s="275" t="s">
        <v>504</v>
      </c>
      <c r="C1022" s="276" t="s">
        <v>1960</v>
      </c>
      <c r="D1022" s="276">
        <v>12</v>
      </c>
      <c r="E1022" s="275">
        <v>69434927</v>
      </c>
      <c r="F1022" s="275"/>
      <c r="G1022" s="105" t="s">
        <v>1956</v>
      </c>
      <c r="H1022" s="276">
        <v>12</v>
      </c>
      <c r="I1022" s="275">
        <v>69648775</v>
      </c>
      <c r="J1022" s="106"/>
      <c r="K1022" s="107"/>
      <c r="L1022" s="149"/>
    </row>
    <row r="1023" spans="1:12" x14ac:dyDescent="0.25">
      <c r="A1023" s="476"/>
      <c r="B1023" s="275" t="s">
        <v>504</v>
      </c>
      <c r="C1023" s="276" t="s">
        <v>1964</v>
      </c>
      <c r="D1023" s="276">
        <v>12</v>
      </c>
      <c r="E1023" s="275">
        <v>69441208</v>
      </c>
      <c r="F1023" s="275"/>
      <c r="G1023" s="105" t="s">
        <v>1956</v>
      </c>
      <c r="H1023" s="276">
        <v>12</v>
      </c>
      <c r="I1023" s="275">
        <v>69940039</v>
      </c>
      <c r="J1023" s="106"/>
      <c r="K1023" s="107"/>
      <c r="L1023" s="149"/>
    </row>
    <row r="1024" spans="1:12" x14ac:dyDescent="0.25">
      <c r="A1024" s="476"/>
      <c r="B1024" s="275" t="s">
        <v>504</v>
      </c>
      <c r="C1024" s="276" t="s">
        <v>1954</v>
      </c>
      <c r="D1024" s="276">
        <v>12</v>
      </c>
      <c r="E1024" s="275">
        <v>69443998</v>
      </c>
      <c r="F1024" s="275"/>
      <c r="G1024" s="105" t="s">
        <v>1956</v>
      </c>
      <c r="H1024" s="276">
        <v>12</v>
      </c>
      <c r="I1024" s="275">
        <v>128371838</v>
      </c>
      <c r="J1024" s="106"/>
      <c r="K1024" s="107"/>
      <c r="L1024" s="149"/>
    </row>
    <row r="1025" spans="1:12" x14ac:dyDescent="0.25">
      <c r="A1025" s="476"/>
      <c r="B1025" s="275" t="s">
        <v>504</v>
      </c>
      <c r="C1025" s="276" t="s">
        <v>1954</v>
      </c>
      <c r="D1025" s="276">
        <v>12</v>
      </c>
      <c r="E1025" s="275">
        <v>69449298</v>
      </c>
      <c r="F1025" s="275"/>
      <c r="G1025" s="105" t="s">
        <v>1956</v>
      </c>
      <c r="H1025" s="276">
        <v>12</v>
      </c>
      <c r="I1025" s="275">
        <v>128246684</v>
      </c>
      <c r="J1025" s="106"/>
      <c r="K1025" s="107"/>
      <c r="L1025" s="149"/>
    </row>
    <row r="1026" spans="1:12" x14ac:dyDescent="0.25">
      <c r="A1026" s="476"/>
      <c r="B1026" s="275" t="s">
        <v>504</v>
      </c>
      <c r="C1026" s="276" t="s">
        <v>1954</v>
      </c>
      <c r="D1026" s="276">
        <v>12</v>
      </c>
      <c r="E1026" s="275">
        <v>69451264</v>
      </c>
      <c r="F1026" s="275"/>
      <c r="G1026" s="105" t="s">
        <v>1956</v>
      </c>
      <c r="H1026" s="276">
        <v>12</v>
      </c>
      <c r="I1026" s="275">
        <v>70937750</v>
      </c>
      <c r="J1026" s="106"/>
      <c r="K1026" s="107"/>
      <c r="L1026" s="149"/>
    </row>
    <row r="1027" spans="1:12" x14ac:dyDescent="0.25">
      <c r="A1027" s="476"/>
      <c r="B1027" s="275" t="s">
        <v>504</v>
      </c>
      <c r="C1027" s="276" t="s">
        <v>1964</v>
      </c>
      <c r="D1027" s="276">
        <v>12</v>
      </c>
      <c r="E1027" s="275">
        <v>69452177</v>
      </c>
      <c r="F1027" s="275"/>
      <c r="G1027" s="105" t="s">
        <v>1956</v>
      </c>
      <c r="H1027" s="276">
        <v>12</v>
      </c>
      <c r="I1027" s="275">
        <v>69797881</v>
      </c>
      <c r="J1027" s="106"/>
      <c r="K1027" s="107"/>
      <c r="L1027" s="149"/>
    </row>
    <row r="1028" spans="1:12" x14ac:dyDescent="0.25">
      <c r="A1028" s="476"/>
      <c r="B1028" s="275" t="s">
        <v>504</v>
      </c>
      <c r="C1028" s="276" t="s">
        <v>1964</v>
      </c>
      <c r="D1028" s="276">
        <v>12</v>
      </c>
      <c r="E1028" s="275">
        <v>69454106</v>
      </c>
      <c r="F1028" s="275"/>
      <c r="G1028" s="105" t="s">
        <v>1956</v>
      </c>
      <c r="H1028" s="276">
        <v>12</v>
      </c>
      <c r="I1028" s="275">
        <v>69571830</v>
      </c>
      <c r="J1028" s="106"/>
      <c r="K1028" s="107"/>
      <c r="L1028" s="149"/>
    </row>
    <row r="1029" spans="1:12" x14ac:dyDescent="0.25">
      <c r="A1029" s="476"/>
      <c r="B1029" s="275" t="s">
        <v>504</v>
      </c>
      <c r="C1029" s="276" t="s">
        <v>1964</v>
      </c>
      <c r="D1029" s="276">
        <v>12</v>
      </c>
      <c r="E1029" s="275">
        <v>69454887</v>
      </c>
      <c r="F1029" s="275"/>
      <c r="G1029" s="105" t="s">
        <v>1956</v>
      </c>
      <c r="H1029" s="276">
        <v>12</v>
      </c>
      <c r="I1029" s="275">
        <v>128377322</v>
      </c>
      <c r="J1029" s="106"/>
      <c r="K1029" s="107"/>
      <c r="L1029" s="149"/>
    </row>
    <row r="1030" spans="1:12" x14ac:dyDescent="0.25">
      <c r="A1030" s="476"/>
      <c r="B1030" s="275" t="s">
        <v>504</v>
      </c>
      <c r="C1030" s="276" t="s">
        <v>1954</v>
      </c>
      <c r="D1030" s="276">
        <v>12</v>
      </c>
      <c r="E1030" s="275">
        <v>69458774</v>
      </c>
      <c r="F1030" s="275"/>
      <c r="G1030" s="105" t="s">
        <v>1956</v>
      </c>
      <c r="H1030" s="276">
        <v>12</v>
      </c>
      <c r="I1030" s="275">
        <v>128037047</v>
      </c>
      <c r="J1030" s="106"/>
      <c r="K1030" s="107"/>
      <c r="L1030" s="149"/>
    </row>
    <row r="1031" spans="1:12" x14ac:dyDescent="0.25">
      <c r="A1031" s="476"/>
      <c r="B1031" s="275" t="s">
        <v>504</v>
      </c>
      <c r="C1031" s="276" t="s">
        <v>1954</v>
      </c>
      <c r="D1031" s="276">
        <v>12</v>
      </c>
      <c r="E1031" s="275">
        <v>69459770</v>
      </c>
      <c r="F1031" s="275"/>
      <c r="G1031" s="105" t="s">
        <v>1956</v>
      </c>
      <c r="H1031" s="276">
        <v>12</v>
      </c>
      <c r="I1031" s="275">
        <v>128021086</v>
      </c>
      <c r="J1031" s="106"/>
      <c r="K1031" s="107"/>
      <c r="L1031" s="149"/>
    </row>
    <row r="1032" spans="1:12" x14ac:dyDescent="0.25">
      <c r="A1032" s="476"/>
      <c r="B1032" s="275" t="s">
        <v>504</v>
      </c>
      <c r="C1032" s="276" t="s">
        <v>1964</v>
      </c>
      <c r="D1032" s="276">
        <v>12</v>
      </c>
      <c r="E1032" s="275">
        <v>69462747</v>
      </c>
      <c r="F1032" s="275"/>
      <c r="G1032" s="105" t="s">
        <v>1956</v>
      </c>
      <c r="H1032" s="276">
        <v>12</v>
      </c>
      <c r="I1032" s="275">
        <v>69517713</v>
      </c>
      <c r="J1032" s="106"/>
      <c r="K1032" s="107"/>
      <c r="L1032" s="149"/>
    </row>
    <row r="1033" spans="1:12" x14ac:dyDescent="0.25">
      <c r="A1033" s="476"/>
      <c r="B1033" s="275" t="s">
        <v>504</v>
      </c>
      <c r="C1033" s="276" t="s">
        <v>1960</v>
      </c>
      <c r="D1033" s="276">
        <v>12</v>
      </c>
      <c r="E1033" s="275">
        <v>69475265</v>
      </c>
      <c r="F1033" s="275"/>
      <c r="G1033" s="105" t="s">
        <v>1956</v>
      </c>
      <c r="H1033" s="276">
        <v>12</v>
      </c>
      <c r="I1033" s="275">
        <v>70003873</v>
      </c>
      <c r="J1033" s="106"/>
      <c r="K1033" s="107"/>
      <c r="L1033" s="149"/>
    </row>
    <row r="1034" spans="1:12" x14ac:dyDescent="0.25">
      <c r="A1034" s="476"/>
      <c r="B1034" s="275" t="s">
        <v>504</v>
      </c>
      <c r="C1034" s="276" t="s">
        <v>1954</v>
      </c>
      <c r="D1034" s="276">
        <v>12</v>
      </c>
      <c r="E1034" s="275">
        <v>69476737</v>
      </c>
      <c r="F1034" s="275"/>
      <c r="G1034" s="105" t="s">
        <v>1956</v>
      </c>
      <c r="H1034" s="276">
        <v>12</v>
      </c>
      <c r="I1034" s="275">
        <v>128064594</v>
      </c>
      <c r="J1034" s="106"/>
      <c r="K1034" s="107"/>
      <c r="L1034" s="149"/>
    </row>
    <row r="1035" spans="1:12" x14ac:dyDescent="0.25">
      <c r="A1035" s="476"/>
      <c r="B1035" s="275" t="s">
        <v>504</v>
      </c>
      <c r="C1035" s="276" t="s">
        <v>1954</v>
      </c>
      <c r="D1035" s="276">
        <v>12</v>
      </c>
      <c r="E1035" s="275">
        <v>69479005</v>
      </c>
      <c r="F1035" s="275"/>
      <c r="G1035" s="105" t="s">
        <v>1956</v>
      </c>
      <c r="H1035" s="276">
        <v>12</v>
      </c>
      <c r="I1035" s="275">
        <v>70960821</v>
      </c>
      <c r="J1035" s="106"/>
      <c r="K1035" s="107"/>
      <c r="L1035" s="149"/>
    </row>
    <row r="1036" spans="1:12" x14ac:dyDescent="0.25">
      <c r="A1036" s="476"/>
      <c r="B1036" s="275" t="s">
        <v>504</v>
      </c>
      <c r="C1036" s="276" t="s">
        <v>1964</v>
      </c>
      <c r="D1036" s="276">
        <v>12</v>
      </c>
      <c r="E1036" s="275">
        <v>69483012</v>
      </c>
      <c r="F1036" s="275"/>
      <c r="G1036" s="105" t="s">
        <v>1956</v>
      </c>
      <c r="H1036" s="276">
        <v>12</v>
      </c>
      <c r="I1036" s="275">
        <v>69870222</v>
      </c>
      <c r="J1036" s="106"/>
      <c r="K1036" s="107"/>
      <c r="L1036" s="149"/>
    </row>
    <row r="1037" spans="1:12" x14ac:dyDescent="0.25">
      <c r="A1037" s="476"/>
      <c r="B1037" s="275" t="s">
        <v>504</v>
      </c>
      <c r="C1037" s="276" t="s">
        <v>1960</v>
      </c>
      <c r="D1037" s="276">
        <v>12</v>
      </c>
      <c r="E1037" s="275">
        <v>69494257</v>
      </c>
      <c r="F1037" s="275"/>
      <c r="G1037" s="105" t="s">
        <v>1956</v>
      </c>
      <c r="H1037" s="276">
        <v>12</v>
      </c>
      <c r="I1037" s="275">
        <v>128633886</v>
      </c>
      <c r="J1037" s="106"/>
      <c r="K1037" s="107"/>
      <c r="L1037" s="149"/>
    </row>
    <row r="1038" spans="1:12" x14ac:dyDescent="0.25">
      <c r="A1038" s="476"/>
      <c r="B1038" s="275" t="s">
        <v>504</v>
      </c>
      <c r="C1038" s="276" t="s">
        <v>1964</v>
      </c>
      <c r="D1038" s="276">
        <v>12</v>
      </c>
      <c r="E1038" s="275">
        <v>69500943</v>
      </c>
      <c r="F1038" s="275"/>
      <c r="G1038" s="105" t="s">
        <v>1956</v>
      </c>
      <c r="H1038" s="276">
        <v>12</v>
      </c>
      <c r="I1038" s="275">
        <v>70923141</v>
      </c>
      <c r="J1038" s="106"/>
      <c r="K1038" s="107"/>
      <c r="L1038" s="149"/>
    </row>
    <row r="1039" spans="1:12" x14ac:dyDescent="0.25">
      <c r="A1039" s="476"/>
      <c r="B1039" s="275" t="s">
        <v>504</v>
      </c>
      <c r="C1039" s="276" t="s">
        <v>1964</v>
      </c>
      <c r="D1039" s="276">
        <v>12</v>
      </c>
      <c r="E1039" s="275">
        <v>69501755</v>
      </c>
      <c r="F1039" s="275"/>
      <c r="G1039" s="105" t="s">
        <v>1956</v>
      </c>
      <c r="H1039" s="276">
        <v>12</v>
      </c>
      <c r="I1039" s="275">
        <v>69746331</v>
      </c>
      <c r="J1039" s="106"/>
      <c r="K1039" s="107"/>
      <c r="L1039" s="149"/>
    </row>
    <row r="1040" spans="1:12" x14ac:dyDescent="0.25">
      <c r="A1040" s="476"/>
      <c r="B1040" s="275" t="s">
        <v>504</v>
      </c>
      <c r="C1040" s="276" t="s">
        <v>1954</v>
      </c>
      <c r="D1040" s="276">
        <v>12</v>
      </c>
      <c r="E1040" s="275">
        <v>69502279</v>
      </c>
      <c r="F1040" s="275"/>
      <c r="G1040" s="105" t="s">
        <v>1956</v>
      </c>
      <c r="H1040" s="276">
        <v>12</v>
      </c>
      <c r="I1040" s="275">
        <v>128063551</v>
      </c>
      <c r="J1040" s="106"/>
      <c r="K1040" s="107"/>
      <c r="L1040" s="149"/>
    </row>
    <row r="1041" spans="1:12" x14ac:dyDescent="0.25">
      <c r="A1041" s="476"/>
      <c r="B1041" s="275" t="s">
        <v>504</v>
      </c>
      <c r="C1041" s="276" t="s">
        <v>1964</v>
      </c>
      <c r="D1041" s="276">
        <v>12</v>
      </c>
      <c r="E1041" s="275">
        <v>69502690</v>
      </c>
      <c r="F1041" s="275"/>
      <c r="G1041" s="105" t="s">
        <v>1956</v>
      </c>
      <c r="H1041" s="276">
        <v>12</v>
      </c>
      <c r="I1041" s="275">
        <v>127991409</v>
      </c>
      <c r="J1041" s="106"/>
      <c r="K1041" s="107"/>
      <c r="L1041" s="149"/>
    </row>
    <row r="1042" spans="1:12" x14ac:dyDescent="0.25">
      <c r="A1042" s="476"/>
      <c r="B1042" s="275" t="s">
        <v>504</v>
      </c>
      <c r="C1042" s="276" t="s">
        <v>1964</v>
      </c>
      <c r="D1042" s="276">
        <v>12</v>
      </c>
      <c r="E1042" s="275">
        <v>69502879</v>
      </c>
      <c r="F1042" s="275"/>
      <c r="G1042" s="105" t="s">
        <v>1956</v>
      </c>
      <c r="H1042" s="276">
        <v>12</v>
      </c>
      <c r="I1042" s="275">
        <v>128862013</v>
      </c>
      <c r="J1042" s="106"/>
      <c r="K1042" s="107"/>
      <c r="L1042" s="149"/>
    </row>
    <row r="1043" spans="1:12" x14ac:dyDescent="0.25">
      <c r="A1043" s="476"/>
      <c r="B1043" s="275" t="s">
        <v>504</v>
      </c>
      <c r="C1043" s="276" t="s">
        <v>1964</v>
      </c>
      <c r="D1043" s="276">
        <v>12</v>
      </c>
      <c r="E1043" s="275">
        <v>69511765</v>
      </c>
      <c r="F1043" s="275"/>
      <c r="G1043" s="105" t="s">
        <v>1956</v>
      </c>
      <c r="H1043" s="276">
        <v>12</v>
      </c>
      <c r="I1043" s="275">
        <v>70951252</v>
      </c>
      <c r="J1043" s="106"/>
      <c r="K1043" s="107"/>
      <c r="L1043" s="149"/>
    </row>
    <row r="1044" spans="1:12" x14ac:dyDescent="0.25">
      <c r="A1044" s="476"/>
      <c r="B1044" s="275" t="s">
        <v>504</v>
      </c>
      <c r="C1044" s="276" t="s">
        <v>1954</v>
      </c>
      <c r="D1044" s="276">
        <v>12</v>
      </c>
      <c r="E1044" s="275">
        <v>69511946</v>
      </c>
      <c r="F1044" s="275"/>
      <c r="G1044" s="105" t="s">
        <v>1956</v>
      </c>
      <c r="H1044" s="276">
        <v>12</v>
      </c>
      <c r="I1044" s="275">
        <v>70264109</v>
      </c>
      <c r="J1044" s="106"/>
      <c r="K1044" s="107"/>
      <c r="L1044" s="149"/>
    </row>
    <row r="1045" spans="1:12" x14ac:dyDescent="0.25">
      <c r="A1045" s="476"/>
      <c r="B1045" s="275" t="s">
        <v>504</v>
      </c>
      <c r="C1045" s="276" t="s">
        <v>1954</v>
      </c>
      <c r="D1045" s="276">
        <v>12</v>
      </c>
      <c r="E1045" s="275">
        <v>69514353</v>
      </c>
      <c r="F1045" s="275"/>
      <c r="G1045" s="105" t="s">
        <v>1956</v>
      </c>
      <c r="H1045" s="276">
        <v>12</v>
      </c>
      <c r="I1045" s="275">
        <v>70089550</v>
      </c>
      <c r="J1045" s="106"/>
      <c r="K1045" s="107"/>
      <c r="L1045" s="149"/>
    </row>
    <row r="1046" spans="1:12" x14ac:dyDescent="0.25">
      <c r="A1046" s="476"/>
      <c r="B1046" s="275" t="s">
        <v>504</v>
      </c>
      <c r="C1046" s="276" t="s">
        <v>1960</v>
      </c>
      <c r="D1046" s="276">
        <v>12</v>
      </c>
      <c r="E1046" s="275">
        <v>69525880</v>
      </c>
      <c r="F1046" s="275"/>
      <c r="G1046" s="105" t="s">
        <v>1956</v>
      </c>
      <c r="H1046" s="276">
        <v>12</v>
      </c>
      <c r="I1046" s="275">
        <v>69926202</v>
      </c>
      <c r="J1046" s="106"/>
      <c r="K1046" s="107"/>
      <c r="L1046" s="149"/>
    </row>
    <row r="1047" spans="1:12" x14ac:dyDescent="0.25">
      <c r="A1047" s="476"/>
      <c r="B1047" s="275" t="s">
        <v>504</v>
      </c>
      <c r="C1047" s="276" t="s">
        <v>1960</v>
      </c>
      <c r="D1047" s="276">
        <v>12</v>
      </c>
      <c r="E1047" s="275">
        <v>69528890</v>
      </c>
      <c r="F1047" s="275"/>
      <c r="G1047" s="105" t="s">
        <v>1956</v>
      </c>
      <c r="H1047" s="276">
        <v>12</v>
      </c>
      <c r="I1047" s="275">
        <v>128635400</v>
      </c>
      <c r="J1047" s="106"/>
      <c r="K1047" s="107"/>
      <c r="L1047" s="149"/>
    </row>
    <row r="1048" spans="1:12" x14ac:dyDescent="0.25">
      <c r="A1048" s="476"/>
      <c r="B1048" s="275" t="s">
        <v>504</v>
      </c>
      <c r="C1048" s="276" t="s">
        <v>1964</v>
      </c>
      <c r="D1048" s="276">
        <v>12</v>
      </c>
      <c r="E1048" s="275">
        <v>69536783</v>
      </c>
      <c r="F1048" s="275"/>
      <c r="G1048" s="105" t="s">
        <v>1956</v>
      </c>
      <c r="H1048" s="276">
        <v>12</v>
      </c>
      <c r="I1048" s="275">
        <v>69780908</v>
      </c>
      <c r="J1048" s="106"/>
      <c r="K1048" s="107"/>
      <c r="L1048" s="149"/>
    </row>
    <row r="1049" spans="1:12" x14ac:dyDescent="0.25">
      <c r="A1049" s="476"/>
      <c r="B1049" s="275" t="s">
        <v>504</v>
      </c>
      <c r="C1049" s="276" t="s">
        <v>1964</v>
      </c>
      <c r="D1049" s="276">
        <v>12</v>
      </c>
      <c r="E1049" s="275">
        <v>69542052</v>
      </c>
      <c r="F1049" s="275"/>
      <c r="G1049" s="105" t="s">
        <v>1956</v>
      </c>
      <c r="H1049" s="276">
        <v>12</v>
      </c>
      <c r="I1049" s="275">
        <v>69674794</v>
      </c>
      <c r="J1049" s="106"/>
      <c r="K1049" s="107"/>
      <c r="L1049" s="149"/>
    </row>
    <row r="1050" spans="1:12" x14ac:dyDescent="0.25">
      <c r="A1050" s="476"/>
      <c r="B1050" s="275" t="s">
        <v>504</v>
      </c>
      <c r="C1050" s="276" t="s">
        <v>1960</v>
      </c>
      <c r="D1050" s="276">
        <v>12</v>
      </c>
      <c r="E1050" s="275">
        <v>69543931</v>
      </c>
      <c r="F1050" s="275"/>
      <c r="G1050" s="105" t="s">
        <v>1956</v>
      </c>
      <c r="H1050" s="276">
        <v>12</v>
      </c>
      <c r="I1050" s="275">
        <v>128542756</v>
      </c>
      <c r="J1050" s="106"/>
      <c r="K1050" s="107"/>
      <c r="L1050" s="149"/>
    </row>
    <row r="1051" spans="1:12" x14ac:dyDescent="0.25">
      <c r="A1051" s="476"/>
      <c r="B1051" s="275" t="s">
        <v>504</v>
      </c>
      <c r="C1051" s="276" t="s">
        <v>1964</v>
      </c>
      <c r="D1051" s="276">
        <v>12</v>
      </c>
      <c r="E1051" s="275">
        <v>69552847</v>
      </c>
      <c r="F1051" s="275"/>
      <c r="G1051" s="105" t="s">
        <v>1956</v>
      </c>
      <c r="H1051" s="276">
        <v>12</v>
      </c>
      <c r="I1051" s="275">
        <v>70633080</v>
      </c>
      <c r="J1051" s="106"/>
      <c r="K1051" s="107"/>
      <c r="L1051" s="149"/>
    </row>
    <row r="1052" spans="1:12" x14ac:dyDescent="0.25">
      <c r="A1052" s="476"/>
      <c r="B1052" s="275" t="s">
        <v>504</v>
      </c>
      <c r="C1052" s="276" t="s">
        <v>1960</v>
      </c>
      <c r="D1052" s="276">
        <v>12</v>
      </c>
      <c r="E1052" s="275">
        <v>69553941</v>
      </c>
      <c r="F1052" s="275"/>
      <c r="G1052" s="105" t="s">
        <v>1956</v>
      </c>
      <c r="H1052" s="276">
        <v>12</v>
      </c>
      <c r="I1052" s="275">
        <v>69839482</v>
      </c>
      <c r="J1052" s="106"/>
      <c r="K1052" s="107"/>
      <c r="L1052" s="149"/>
    </row>
    <row r="1053" spans="1:12" x14ac:dyDescent="0.25">
      <c r="A1053" s="476"/>
      <c r="B1053" s="275" t="s">
        <v>504</v>
      </c>
      <c r="C1053" s="276" t="s">
        <v>1964</v>
      </c>
      <c r="D1053" s="276">
        <v>12</v>
      </c>
      <c r="E1053" s="275">
        <v>69562434</v>
      </c>
      <c r="F1053" s="275"/>
      <c r="G1053" s="105" t="s">
        <v>1956</v>
      </c>
      <c r="H1053" s="276">
        <v>12</v>
      </c>
      <c r="I1053" s="275">
        <v>128306820</v>
      </c>
      <c r="J1053" s="106"/>
      <c r="K1053" s="107"/>
      <c r="L1053" s="149"/>
    </row>
    <row r="1054" spans="1:12" x14ac:dyDescent="0.25">
      <c r="A1054" s="476"/>
      <c r="B1054" s="275" t="s">
        <v>504</v>
      </c>
      <c r="C1054" s="276" t="s">
        <v>1954</v>
      </c>
      <c r="D1054" s="276">
        <v>12</v>
      </c>
      <c r="E1054" s="275">
        <v>69566749</v>
      </c>
      <c r="F1054" s="275"/>
      <c r="G1054" s="105" t="s">
        <v>1956</v>
      </c>
      <c r="H1054" s="276">
        <v>12</v>
      </c>
      <c r="I1054" s="275">
        <v>128456233</v>
      </c>
      <c r="J1054" s="106"/>
      <c r="K1054" s="107"/>
      <c r="L1054" s="149"/>
    </row>
    <row r="1055" spans="1:12" x14ac:dyDescent="0.25">
      <c r="A1055" s="476"/>
      <c r="B1055" s="275" t="s">
        <v>504</v>
      </c>
      <c r="C1055" s="276" t="s">
        <v>1960</v>
      </c>
      <c r="D1055" s="276">
        <v>12</v>
      </c>
      <c r="E1055" s="275">
        <v>69578250</v>
      </c>
      <c r="F1055" s="275"/>
      <c r="G1055" s="105" t="s">
        <v>1956</v>
      </c>
      <c r="H1055" s="276">
        <v>12</v>
      </c>
      <c r="I1055" s="275">
        <v>128634955</v>
      </c>
      <c r="J1055" s="106"/>
      <c r="K1055" s="107"/>
      <c r="L1055" s="149"/>
    </row>
    <row r="1056" spans="1:12" x14ac:dyDescent="0.25">
      <c r="A1056" s="476"/>
      <c r="B1056" s="275" t="s">
        <v>504</v>
      </c>
      <c r="C1056" s="276" t="s">
        <v>1964</v>
      </c>
      <c r="D1056" s="276">
        <v>12</v>
      </c>
      <c r="E1056" s="275">
        <v>69578690</v>
      </c>
      <c r="F1056" s="275"/>
      <c r="G1056" s="105" t="s">
        <v>1956</v>
      </c>
      <c r="H1056" s="276">
        <v>12</v>
      </c>
      <c r="I1056" s="275">
        <v>70346929</v>
      </c>
      <c r="J1056" s="106"/>
      <c r="K1056" s="107"/>
      <c r="L1056" s="149"/>
    </row>
    <row r="1057" spans="1:12" x14ac:dyDescent="0.25">
      <c r="A1057" s="476"/>
      <c r="B1057" s="275" t="s">
        <v>504</v>
      </c>
      <c r="C1057" s="276" t="s">
        <v>1960</v>
      </c>
      <c r="D1057" s="276">
        <v>12</v>
      </c>
      <c r="E1057" s="275">
        <v>69579129</v>
      </c>
      <c r="F1057" s="275"/>
      <c r="G1057" s="105" t="s">
        <v>1956</v>
      </c>
      <c r="H1057" s="276">
        <v>12</v>
      </c>
      <c r="I1057" s="275">
        <v>69818780</v>
      </c>
      <c r="J1057" s="106"/>
      <c r="K1057" s="107"/>
      <c r="L1057" s="149"/>
    </row>
    <row r="1058" spans="1:12" x14ac:dyDescent="0.25">
      <c r="A1058" s="476"/>
      <c r="B1058" s="275" t="s">
        <v>504</v>
      </c>
      <c r="C1058" s="276" t="s">
        <v>1954</v>
      </c>
      <c r="D1058" s="276">
        <v>12</v>
      </c>
      <c r="E1058" s="275">
        <v>69580258</v>
      </c>
      <c r="F1058" s="275"/>
      <c r="G1058" s="105" t="s">
        <v>1956</v>
      </c>
      <c r="H1058" s="276">
        <v>12</v>
      </c>
      <c r="I1058" s="275">
        <v>128044780</v>
      </c>
      <c r="J1058" s="106"/>
      <c r="K1058" s="107"/>
      <c r="L1058" s="149"/>
    </row>
    <row r="1059" spans="1:12" x14ac:dyDescent="0.25">
      <c r="A1059" s="476"/>
      <c r="B1059" s="275" t="s">
        <v>504</v>
      </c>
      <c r="C1059" s="276" t="s">
        <v>1960</v>
      </c>
      <c r="D1059" s="276">
        <v>12</v>
      </c>
      <c r="E1059" s="275">
        <v>69583362</v>
      </c>
      <c r="F1059" s="275"/>
      <c r="G1059" s="105" t="s">
        <v>1956</v>
      </c>
      <c r="H1059" s="276">
        <v>12</v>
      </c>
      <c r="I1059" s="275">
        <v>70073066</v>
      </c>
      <c r="J1059" s="106"/>
      <c r="K1059" s="107"/>
      <c r="L1059" s="149"/>
    </row>
    <row r="1060" spans="1:12" x14ac:dyDescent="0.25">
      <c r="A1060" s="476"/>
      <c r="B1060" s="275" t="s">
        <v>504</v>
      </c>
      <c r="C1060" s="276" t="s">
        <v>1954</v>
      </c>
      <c r="D1060" s="276">
        <v>12</v>
      </c>
      <c r="E1060" s="275">
        <v>69588743</v>
      </c>
      <c r="F1060" s="275"/>
      <c r="G1060" s="105" t="s">
        <v>1956</v>
      </c>
      <c r="H1060" s="276">
        <v>12</v>
      </c>
      <c r="I1060" s="275">
        <v>70239331</v>
      </c>
      <c r="J1060" s="106"/>
      <c r="K1060" s="107"/>
      <c r="L1060" s="149"/>
    </row>
    <row r="1061" spans="1:12" x14ac:dyDescent="0.25">
      <c r="A1061" s="476"/>
      <c r="B1061" s="275" t="s">
        <v>504</v>
      </c>
      <c r="C1061" s="276" t="s">
        <v>1954</v>
      </c>
      <c r="D1061" s="276">
        <v>12</v>
      </c>
      <c r="E1061" s="275">
        <v>69591493</v>
      </c>
      <c r="F1061" s="275"/>
      <c r="G1061" s="105" t="s">
        <v>1956</v>
      </c>
      <c r="H1061" s="276">
        <v>12</v>
      </c>
      <c r="I1061" s="275">
        <v>69820096</v>
      </c>
      <c r="J1061" s="106"/>
      <c r="K1061" s="107"/>
      <c r="L1061" s="149"/>
    </row>
    <row r="1062" spans="1:12" x14ac:dyDescent="0.25">
      <c r="A1062" s="476"/>
      <c r="B1062" s="275" t="s">
        <v>504</v>
      </c>
      <c r="C1062" s="276" t="s">
        <v>1964</v>
      </c>
      <c r="D1062" s="276">
        <v>12</v>
      </c>
      <c r="E1062" s="275">
        <v>69593872</v>
      </c>
      <c r="F1062" s="275"/>
      <c r="G1062" s="105" t="s">
        <v>1956</v>
      </c>
      <c r="H1062" s="276">
        <v>12</v>
      </c>
      <c r="I1062" s="275">
        <v>70220632</v>
      </c>
      <c r="J1062" s="106"/>
      <c r="K1062" s="107"/>
      <c r="L1062" s="149"/>
    </row>
    <row r="1063" spans="1:12" x14ac:dyDescent="0.25">
      <c r="A1063" s="476"/>
      <c r="B1063" s="275" t="s">
        <v>504</v>
      </c>
      <c r="C1063" s="276" t="s">
        <v>1964</v>
      </c>
      <c r="D1063" s="276">
        <v>12</v>
      </c>
      <c r="E1063" s="275">
        <v>69593933</v>
      </c>
      <c r="F1063" s="275"/>
      <c r="G1063" s="105" t="s">
        <v>1956</v>
      </c>
      <c r="H1063" s="276">
        <v>12</v>
      </c>
      <c r="I1063" s="275">
        <v>70220569</v>
      </c>
      <c r="J1063" s="106"/>
      <c r="K1063" s="107"/>
      <c r="L1063" s="149"/>
    </row>
    <row r="1064" spans="1:12" x14ac:dyDescent="0.25">
      <c r="A1064" s="476"/>
      <c r="B1064" s="275" t="s">
        <v>504</v>
      </c>
      <c r="C1064" s="276" t="s">
        <v>1954</v>
      </c>
      <c r="D1064" s="276">
        <v>12</v>
      </c>
      <c r="E1064" s="275">
        <v>69605329</v>
      </c>
      <c r="F1064" s="275"/>
      <c r="G1064" s="105" t="s">
        <v>1956</v>
      </c>
      <c r="H1064" s="276">
        <v>12</v>
      </c>
      <c r="I1064" s="275">
        <v>71243460</v>
      </c>
      <c r="J1064" s="106"/>
      <c r="K1064" s="107"/>
      <c r="L1064" s="149"/>
    </row>
    <row r="1065" spans="1:12" x14ac:dyDescent="0.25">
      <c r="A1065" s="476"/>
      <c r="B1065" s="275" t="s">
        <v>504</v>
      </c>
      <c r="C1065" s="276" t="s">
        <v>1960</v>
      </c>
      <c r="D1065" s="276">
        <v>12</v>
      </c>
      <c r="E1065" s="275">
        <v>69608410</v>
      </c>
      <c r="F1065" s="275"/>
      <c r="G1065" s="105" t="s">
        <v>1956</v>
      </c>
      <c r="H1065" s="276">
        <v>12</v>
      </c>
      <c r="I1065" s="275">
        <v>128409250</v>
      </c>
      <c r="J1065" s="106"/>
      <c r="K1065" s="107"/>
      <c r="L1065" s="149"/>
    </row>
    <row r="1066" spans="1:12" x14ac:dyDescent="0.25">
      <c r="A1066" s="476"/>
      <c r="B1066" s="275" t="s">
        <v>504</v>
      </c>
      <c r="C1066" s="276" t="s">
        <v>1964</v>
      </c>
      <c r="D1066" s="276">
        <v>12</v>
      </c>
      <c r="E1066" s="275">
        <v>69614276</v>
      </c>
      <c r="F1066" s="275"/>
      <c r="G1066" s="105" t="s">
        <v>1956</v>
      </c>
      <c r="H1066" s="276">
        <v>12</v>
      </c>
      <c r="I1066" s="275">
        <v>69663297</v>
      </c>
      <c r="J1066" s="106"/>
      <c r="K1066" s="107"/>
      <c r="L1066" s="149"/>
    </row>
    <row r="1067" spans="1:12" x14ac:dyDescent="0.25">
      <c r="A1067" s="476"/>
      <c r="B1067" s="275" t="s">
        <v>504</v>
      </c>
      <c r="C1067" s="276" t="s">
        <v>1960</v>
      </c>
      <c r="D1067" s="276">
        <v>12</v>
      </c>
      <c r="E1067" s="275">
        <v>69629065</v>
      </c>
      <c r="F1067" s="275"/>
      <c r="G1067" s="105" t="s">
        <v>1956</v>
      </c>
      <c r="H1067" s="276">
        <v>12</v>
      </c>
      <c r="I1067" s="275">
        <v>69731910</v>
      </c>
      <c r="J1067" s="106"/>
      <c r="K1067" s="107"/>
      <c r="L1067" s="149"/>
    </row>
    <row r="1068" spans="1:12" x14ac:dyDescent="0.25">
      <c r="A1068" s="476"/>
      <c r="B1068" s="275" t="s">
        <v>504</v>
      </c>
      <c r="C1068" s="276" t="s">
        <v>1964</v>
      </c>
      <c r="D1068" s="276">
        <v>12</v>
      </c>
      <c r="E1068" s="275">
        <v>69632065</v>
      </c>
      <c r="F1068" s="275"/>
      <c r="G1068" s="105" t="s">
        <v>1956</v>
      </c>
      <c r="H1068" s="276">
        <v>12</v>
      </c>
      <c r="I1068" s="275">
        <v>69996385</v>
      </c>
      <c r="J1068" s="106"/>
      <c r="K1068" s="107"/>
      <c r="L1068" s="149"/>
    </row>
    <row r="1069" spans="1:12" x14ac:dyDescent="0.25">
      <c r="A1069" s="476"/>
      <c r="B1069" s="275" t="s">
        <v>504</v>
      </c>
      <c r="C1069" s="276" t="s">
        <v>1964</v>
      </c>
      <c r="D1069" s="276">
        <v>12</v>
      </c>
      <c r="E1069" s="275">
        <v>69632513</v>
      </c>
      <c r="F1069" s="275"/>
      <c r="G1069" s="105" t="s">
        <v>1956</v>
      </c>
      <c r="H1069" s="276">
        <v>12</v>
      </c>
      <c r="I1069" s="275">
        <v>128517615</v>
      </c>
      <c r="J1069" s="106"/>
      <c r="K1069" s="107"/>
      <c r="L1069" s="149"/>
    </row>
    <row r="1070" spans="1:12" x14ac:dyDescent="0.25">
      <c r="A1070" s="476"/>
      <c r="B1070" s="275" t="s">
        <v>504</v>
      </c>
      <c r="C1070" s="276" t="s">
        <v>1964</v>
      </c>
      <c r="D1070" s="276">
        <v>12</v>
      </c>
      <c r="E1070" s="275">
        <v>69635226</v>
      </c>
      <c r="F1070" s="275"/>
      <c r="G1070" s="105" t="s">
        <v>1956</v>
      </c>
      <c r="H1070" s="276">
        <v>12</v>
      </c>
      <c r="I1070" s="275">
        <v>69828515</v>
      </c>
      <c r="J1070" s="106"/>
      <c r="K1070" s="107"/>
      <c r="L1070" s="149"/>
    </row>
    <row r="1071" spans="1:12" x14ac:dyDescent="0.25">
      <c r="A1071" s="476"/>
      <c r="B1071" s="275" t="s">
        <v>504</v>
      </c>
      <c r="C1071" s="276" t="s">
        <v>1954</v>
      </c>
      <c r="D1071" s="276">
        <v>12</v>
      </c>
      <c r="E1071" s="275">
        <v>69636130</v>
      </c>
      <c r="F1071" s="275"/>
      <c r="G1071" s="105" t="s">
        <v>1956</v>
      </c>
      <c r="H1071" s="276">
        <v>12</v>
      </c>
      <c r="I1071" s="275">
        <v>128313001</v>
      </c>
      <c r="J1071" s="106"/>
      <c r="K1071" s="107"/>
      <c r="L1071" s="149"/>
    </row>
    <row r="1072" spans="1:12" x14ac:dyDescent="0.25">
      <c r="A1072" s="476"/>
      <c r="B1072" s="275" t="s">
        <v>504</v>
      </c>
      <c r="C1072" s="276" t="s">
        <v>1954</v>
      </c>
      <c r="D1072" s="276">
        <v>12</v>
      </c>
      <c r="E1072" s="275">
        <v>69636286</v>
      </c>
      <c r="F1072" s="275"/>
      <c r="G1072" s="105" t="s">
        <v>1956</v>
      </c>
      <c r="H1072" s="276">
        <v>12</v>
      </c>
      <c r="I1072" s="275">
        <v>69972920</v>
      </c>
      <c r="J1072" s="106"/>
      <c r="K1072" s="107"/>
      <c r="L1072" s="149"/>
    </row>
    <row r="1073" spans="1:12" x14ac:dyDescent="0.25">
      <c r="A1073" s="476"/>
      <c r="B1073" s="275" t="s">
        <v>504</v>
      </c>
      <c r="C1073" s="276" t="s">
        <v>1960</v>
      </c>
      <c r="D1073" s="276">
        <v>12</v>
      </c>
      <c r="E1073" s="275">
        <v>69637157</v>
      </c>
      <c r="F1073" s="275"/>
      <c r="G1073" s="105" t="s">
        <v>1956</v>
      </c>
      <c r="H1073" s="276">
        <v>12</v>
      </c>
      <c r="I1073" s="275">
        <v>70263309</v>
      </c>
      <c r="J1073" s="106"/>
      <c r="K1073" s="107"/>
      <c r="L1073" s="149"/>
    </row>
    <row r="1074" spans="1:12" x14ac:dyDescent="0.25">
      <c r="A1074" s="476"/>
      <c r="B1074" s="275" t="s">
        <v>504</v>
      </c>
      <c r="C1074" s="276" t="s">
        <v>1964</v>
      </c>
      <c r="D1074" s="276">
        <v>12</v>
      </c>
      <c r="E1074" s="275">
        <v>69640945</v>
      </c>
      <c r="F1074" s="275"/>
      <c r="G1074" s="105" t="s">
        <v>1956</v>
      </c>
      <c r="H1074" s="276">
        <v>12</v>
      </c>
      <c r="I1074" s="275">
        <v>69676840</v>
      </c>
      <c r="J1074" s="106"/>
      <c r="K1074" s="107"/>
      <c r="L1074" s="149"/>
    </row>
    <row r="1075" spans="1:12" x14ac:dyDescent="0.25">
      <c r="A1075" s="476"/>
      <c r="B1075" s="275" t="s">
        <v>504</v>
      </c>
      <c r="C1075" s="276" t="s">
        <v>1964</v>
      </c>
      <c r="D1075" s="276">
        <v>12</v>
      </c>
      <c r="E1075" s="275">
        <v>69642386</v>
      </c>
      <c r="F1075" s="275"/>
      <c r="G1075" s="105" t="s">
        <v>1956</v>
      </c>
      <c r="H1075" s="276">
        <v>12</v>
      </c>
      <c r="I1075" s="275">
        <v>128099806</v>
      </c>
      <c r="J1075" s="106"/>
      <c r="K1075" s="107"/>
      <c r="L1075" s="149"/>
    </row>
    <row r="1076" spans="1:12" x14ac:dyDescent="0.25">
      <c r="A1076" s="476"/>
      <c r="B1076" s="275" t="s">
        <v>504</v>
      </c>
      <c r="C1076" s="276" t="s">
        <v>1964</v>
      </c>
      <c r="D1076" s="276">
        <v>12</v>
      </c>
      <c r="E1076" s="275">
        <v>69656858</v>
      </c>
      <c r="F1076" s="275"/>
      <c r="G1076" s="105" t="s">
        <v>1956</v>
      </c>
      <c r="H1076" s="276">
        <v>12</v>
      </c>
      <c r="I1076" s="275">
        <v>128259031</v>
      </c>
      <c r="J1076" s="106"/>
      <c r="K1076" s="107"/>
      <c r="L1076" s="149"/>
    </row>
    <row r="1077" spans="1:12" x14ac:dyDescent="0.25">
      <c r="A1077" s="476"/>
      <c r="B1077" s="275" t="s">
        <v>504</v>
      </c>
      <c r="C1077" s="276" t="s">
        <v>1960</v>
      </c>
      <c r="D1077" s="276">
        <v>12</v>
      </c>
      <c r="E1077" s="275">
        <v>69664010</v>
      </c>
      <c r="F1077" s="275"/>
      <c r="G1077" s="105" t="s">
        <v>1956</v>
      </c>
      <c r="H1077" s="276">
        <v>12</v>
      </c>
      <c r="I1077" s="275">
        <v>128335470</v>
      </c>
      <c r="J1077" s="106"/>
      <c r="K1077" s="107"/>
      <c r="L1077" s="149"/>
    </row>
    <row r="1078" spans="1:12" x14ac:dyDescent="0.25">
      <c r="A1078" s="476"/>
      <c r="B1078" s="275" t="s">
        <v>504</v>
      </c>
      <c r="C1078" s="276" t="s">
        <v>1960</v>
      </c>
      <c r="D1078" s="276">
        <v>12</v>
      </c>
      <c r="E1078" s="275">
        <v>69679813</v>
      </c>
      <c r="F1078" s="275"/>
      <c r="G1078" s="105" t="s">
        <v>1956</v>
      </c>
      <c r="H1078" s="276">
        <v>12</v>
      </c>
      <c r="I1078" s="275">
        <v>128016790</v>
      </c>
      <c r="J1078" s="106"/>
      <c r="K1078" s="107"/>
      <c r="L1078" s="149"/>
    </row>
    <row r="1079" spans="1:12" x14ac:dyDescent="0.25">
      <c r="A1079" s="476"/>
      <c r="B1079" s="275" t="s">
        <v>504</v>
      </c>
      <c r="C1079" s="276" t="s">
        <v>1954</v>
      </c>
      <c r="D1079" s="276">
        <v>12</v>
      </c>
      <c r="E1079" s="275">
        <v>69684868</v>
      </c>
      <c r="F1079" s="275"/>
      <c r="G1079" s="105" t="s">
        <v>1956</v>
      </c>
      <c r="H1079" s="276">
        <v>12</v>
      </c>
      <c r="I1079" s="275">
        <v>69768909</v>
      </c>
      <c r="J1079" s="106"/>
      <c r="K1079" s="107"/>
      <c r="L1079" s="149"/>
    </row>
    <row r="1080" spans="1:12" x14ac:dyDescent="0.25">
      <c r="A1080" s="476"/>
      <c r="B1080" s="275" t="s">
        <v>504</v>
      </c>
      <c r="C1080" s="276" t="s">
        <v>1964</v>
      </c>
      <c r="D1080" s="276">
        <v>12</v>
      </c>
      <c r="E1080" s="275">
        <v>69692041</v>
      </c>
      <c r="F1080" s="275"/>
      <c r="G1080" s="105" t="s">
        <v>1956</v>
      </c>
      <c r="H1080" s="276">
        <v>12</v>
      </c>
      <c r="I1080" s="275">
        <v>69828869</v>
      </c>
      <c r="J1080" s="106"/>
      <c r="K1080" s="107"/>
      <c r="L1080" s="149"/>
    </row>
    <row r="1081" spans="1:12" x14ac:dyDescent="0.25">
      <c r="A1081" s="476"/>
      <c r="B1081" s="275" t="s">
        <v>504</v>
      </c>
      <c r="C1081" s="276" t="s">
        <v>1954</v>
      </c>
      <c r="D1081" s="276">
        <v>12</v>
      </c>
      <c r="E1081" s="275">
        <v>69699831</v>
      </c>
      <c r="F1081" s="275"/>
      <c r="G1081" s="105" t="s">
        <v>1956</v>
      </c>
      <c r="H1081" s="276">
        <v>12</v>
      </c>
      <c r="I1081" s="275">
        <v>128342156</v>
      </c>
      <c r="J1081" s="106"/>
      <c r="K1081" s="107"/>
      <c r="L1081" s="149"/>
    </row>
    <row r="1082" spans="1:12" x14ac:dyDescent="0.25">
      <c r="A1082" s="476"/>
      <c r="B1082" s="275" t="s">
        <v>504</v>
      </c>
      <c r="C1082" s="276" t="s">
        <v>1964</v>
      </c>
      <c r="D1082" s="276">
        <v>12</v>
      </c>
      <c r="E1082" s="275">
        <v>69708140</v>
      </c>
      <c r="F1082" s="275"/>
      <c r="G1082" s="105" t="s">
        <v>1956</v>
      </c>
      <c r="H1082" s="276">
        <v>12</v>
      </c>
      <c r="I1082" s="275">
        <v>69804949</v>
      </c>
      <c r="J1082" s="106"/>
      <c r="K1082" s="107"/>
      <c r="L1082" s="149"/>
    </row>
    <row r="1083" spans="1:12" x14ac:dyDescent="0.25">
      <c r="A1083" s="476"/>
      <c r="B1083" s="275" t="s">
        <v>504</v>
      </c>
      <c r="C1083" s="276" t="s">
        <v>1964</v>
      </c>
      <c r="D1083" s="276">
        <v>12</v>
      </c>
      <c r="E1083" s="275">
        <v>69715660</v>
      </c>
      <c r="F1083" s="275"/>
      <c r="G1083" s="105" t="s">
        <v>1956</v>
      </c>
      <c r="H1083" s="276">
        <v>12</v>
      </c>
      <c r="I1083" s="275">
        <v>69982253</v>
      </c>
      <c r="J1083" s="106"/>
      <c r="K1083" s="107"/>
      <c r="L1083" s="149"/>
    </row>
    <row r="1084" spans="1:12" x14ac:dyDescent="0.25">
      <c r="A1084" s="476"/>
      <c r="B1084" s="275" t="s">
        <v>504</v>
      </c>
      <c r="C1084" s="276" t="s">
        <v>1964</v>
      </c>
      <c r="D1084" s="276">
        <v>12</v>
      </c>
      <c r="E1084" s="275">
        <v>69718926</v>
      </c>
      <c r="F1084" s="275"/>
      <c r="G1084" s="105" t="s">
        <v>1956</v>
      </c>
      <c r="H1084" s="276">
        <v>12</v>
      </c>
      <c r="I1084" s="275">
        <v>69953145</v>
      </c>
      <c r="J1084" s="106"/>
      <c r="K1084" s="107"/>
      <c r="L1084" s="149"/>
    </row>
    <row r="1085" spans="1:12" x14ac:dyDescent="0.25">
      <c r="A1085" s="476"/>
      <c r="B1085" s="275" t="s">
        <v>504</v>
      </c>
      <c r="C1085" s="276" t="s">
        <v>1960</v>
      </c>
      <c r="D1085" s="276">
        <v>12</v>
      </c>
      <c r="E1085" s="275">
        <v>69721674</v>
      </c>
      <c r="F1085" s="275"/>
      <c r="G1085" s="105" t="s">
        <v>1956</v>
      </c>
      <c r="H1085" s="276">
        <v>12</v>
      </c>
      <c r="I1085" s="275">
        <v>128022440</v>
      </c>
      <c r="J1085" s="106"/>
      <c r="K1085" s="107"/>
      <c r="L1085" s="149"/>
    </row>
    <row r="1086" spans="1:12" x14ac:dyDescent="0.25">
      <c r="A1086" s="476"/>
      <c r="B1086" s="275" t="s">
        <v>504</v>
      </c>
      <c r="C1086" s="276" t="s">
        <v>1960</v>
      </c>
      <c r="D1086" s="276">
        <v>12</v>
      </c>
      <c r="E1086" s="275">
        <v>69735069</v>
      </c>
      <c r="F1086" s="275"/>
      <c r="G1086" s="105" t="s">
        <v>1956</v>
      </c>
      <c r="H1086" s="276">
        <v>12</v>
      </c>
      <c r="I1086" s="275">
        <v>70991093</v>
      </c>
      <c r="J1086" s="106"/>
      <c r="K1086" s="107"/>
      <c r="L1086" s="149"/>
    </row>
    <row r="1087" spans="1:12" x14ac:dyDescent="0.25">
      <c r="A1087" s="476"/>
      <c r="B1087" s="275" t="s">
        <v>504</v>
      </c>
      <c r="C1087" s="276" t="s">
        <v>1954</v>
      </c>
      <c r="D1087" s="276">
        <v>12</v>
      </c>
      <c r="E1087" s="275">
        <v>69737085</v>
      </c>
      <c r="F1087" s="275"/>
      <c r="G1087" s="105" t="s">
        <v>1956</v>
      </c>
      <c r="H1087" s="276">
        <v>12</v>
      </c>
      <c r="I1087" s="275">
        <v>69996541</v>
      </c>
      <c r="J1087" s="106"/>
      <c r="K1087" s="107"/>
      <c r="L1087" s="149"/>
    </row>
    <row r="1088" spans="1:12" x14ac:dyDescent="0.25">
      <c r="A1088" s="476"/>
      <c r="B1088" s="275" t="s">
        <v>504</v>
      </c>
      <c r="C1088" s="276" t="s">
        <v>1954</v>
      </c>
      <c r="D1088" s="276">
        <v>12</v>
      </c>
      <c r="E1088" s="275">
        <v>69737501</v>
      </c>
      <c r="F1088" s="275"/>
      <c r="G1088" s="105" t="s">
        <v>1956</v>
      </c>
      <c r="H1088" s="276">
        <v>12</v>
      </c>
      <c r="I1088" s="275">
        <v>128039752</v>
      </c>
      <c r="J1088" s="106"/>
      <c r="K1088" s="107"/>
      <c r="L1088" s="149"/>
    </row>
    <row r="1089" spans="1:12" x14ac:dyDescent="0.25">
      <c r="A1089" s="476"/>
      <c r="B1089" s="275" t="s">
        <v>504</v>
      </c>
      <c r="C1089" s="276" t="s">
        <v>1964</v>
      </c>
      <c r="D1089" s="276">
        <v>12</v>
      </c>
      <c r="E1089" s="275">
        <v>69745011</v>
      </c>
      <c r="F1089" s="275"/>
      <c r="G1089" s="105" t="s">
        <v>1956</v>
      </c>
      <c r="H1089" s="276">
        <v>12</v>
      </c>
      <c r="I1089" s="275">
        <v>69959395</v>
      </c>
      <c r="J1089" s="106"/>
      <c r="K1089" s="107"/>
      <c r="L1089" s="149"/>
    </row>
    <row r="1090" spans="1:12" x14ac:dyDescent="0.25">
      <c r="A1090" s="476"/>
      <c r="B1090" s="275" t="s">
        <v>504</v>
      </c>
      <c r="C1090" s="276" t="s">
        <v>1960</v>
      </c>
      <c r="D1090" s="276">
        <v>12</v>
      </c>
      <c r="E1090" s="275">
        <v>69750214</v>
      </c>
      <c r="F1090" s="275"/>
      <c r="G1090" s="105" t="s">
        <v>1956</v>
      </c>
      <c r="H1090" s="276">
        <v>12</v>
      </c>
      <c r="I1090" s="275">
        <v>128479848</v>
      </c>
      <c r="J1090" s="106"/>
      <c r="K1090" s="107"/>
      <c r="L1090" s="149"/>
    </row>
    <row r="1091" spans="1:12" x14ac:dyDescent="0.25">
      <c r="A1091" s="476"/>
      <c r="B1091" s="275" t="s">
        <v>504</v>
      </c>
      <c r="C1091" s="276" t="s">
        <v>1954</v>
      </c>
      <c r="D1091" s="276">
        <v>12</v>
      </c>
      <c r="E1091" s="275">
        <v>69753960</v>
      </c>
      <c r="F1091" s="275"/>
      <c r="G1091" s="105" t="s">
        <v>1956</v>
      </c>
      <c r="H1091" s="276">
        <v>12</v>
      </c>
      <c r="I1091" s="275">
        <v>69909093</v>
      </c>
      <c r="J1091" s="106"/>
      <c r="K1091" s="107"/>
      <c r="L1091" s="149"/>
    </row>
    <row r="1092" spans="1:12" x14ac:dyDescent="0.25">
      <c r="A1092" s="476"/>
      <c r="B1092" s="275" t="s">
        <v>504</v>
      </c>
      <c r="C1092" s="276" t="s">
        <v>1954</v>
      </c>
      <c r="D1092" s="276">
        <v>12</v>
      </c>
      <c r="E1092" s="275">
        <v>69760805</v>
      </c>
      <c r="F1092" s="275"/>
      <c r="G1092" s="105" t="s">
        <v>1956</v>
      </c>
      <c r="H1092" s="276">
        <v>12</v>
      </c>
      <c r="I1092" s="275">
        <v>70400906</v>
      </c>
      <c r="J1092" s="106"/>
      <c r="K1092" s="107"/>
      <c r="L1092" s="149"/>
    </row>
    <row r="1093" spans="1:12" x14ac:dyDescent="0.25">
      <c r="A1093" s="476"/>
      <c r="B1093" s="275" t="s">
        <v>504</v>
      </c>
      <c r="C1093" s="276" t="s">
        <v>1960</v>
      </c>
      <c r="D1093" s="276">
        <v>12</v>
      </c>
      <c r="E1093" s="275">
        <v>69766050</v>
      </c>
      <c r="F1093" s="275"/>
      <c r="G1093" s="105" t="s">
        <v>1956</v>
      </c>
      <c r="H1093" s="276">
        <v>12</v>
      </c>
      <c r="I1093" s="275">
        <v>128059158</v>
      </c>
      <c r="J1093" s="106"/>
      <c r="K1093" s="107"/>
      <c r="L1093" s="149"/>
    </row>
    <row r="1094" spans="1:12" x14ac:dyDescent="0.25">
      <c r="A1094" s="476"/>
      <c r="B1094" s="275" t="s">
        <v>504</v>
      </c>
      <c r="C1094" s="276" t="s">
        <v>1960</v>
      </c>
      <c r="D1094" s="276">
        <v>12</v>
      </c>
      <c r="E1094" s="275">
        <v>69775893</v>
      </c>
      <c r="F1094" s="275"/>
      <c r="G1094" s="105" t="s">
        <v>1956</v>
      </c>
      <c r="H1094" s="276">
        <v>12</v>
      </c>
      <c r="I1094" s="275">
        <v>70177637</v>
      </c>
      <c r="J1094" s="106"/>
      <c r="K1094" s="107"/>
      <c r="L1094" s="149"/>
    </row>
    <row r="1095" spans="1:12" x14ac:dyDescent="0.25">
      <c r="A1095" s="476"/>
      <c r="B1095" s="275" t="s">
        <v>504</v>
      </c>
      <c r="C1095" s="276" t="s">
        <v>1964</v>
      </c>
      <c r="D1095" s="276">
        <v>12</v>
      </c>
      <c r="E1095" s="275">
        <v>69778287</v>
      </c>
      <c r="F1095" s="275"/>
      <c r="G1095" s="105" t="s">
        <v>1956</v>
      </c>
      <c r="H1095" s="276">
        <v>12</v>
      </c>
      <c r="I1095" s="275">
        <v>128178403</v>
      </c>
      <c r="J1095" s="106"/>
      <c r="K1095" s="107"/>
      <c r="L1095" s="149"/>
    </row>
    <row r="1096" spans="1:12" x14ac:dyDescent="0.25">
      <c r="A1096" s="476"/>
      <c r="B1096" s="275" t="s">
        <v>504</v>
      </c>
      <c r="C1096" s="276" t="s">
        <v>1954</v>
      </c>
      <c r="D1096" s="276">
        <v>12</v>
      </c>
      <c r="E1096" s="275">
        <v>69788812</v>
      </c>
      <c r="F1096" s="275"/>
      <c r="G1096" s="105" t="s">
        <v>1956</v>
      </c>
      <c r="H1096" s="276">
        <v>12</v>
      </c>
      <c r="I1096" s="275">
        <v>70103409</v>
      </c>
      <c r="J1096" s="106"/>
      <c r="K1096" s="107"/>
      <c r="L1096" s="149"/>
    </row>
    <row r="1097" spans="1:12" x14ac:dyDescent="0.25">
      <c r="A1097" s="476"/>
      <c r="B1097" s="275" t="s">
        <v>504</v>
      </c>
      <c r="C1097" s="276" t="s">
        <v>1960</v>
      </c>
      <c r="D1097" s="276">
        <v>12</v>
      </c>
      <c r="E1097" s="275">
        <v>69789616</v>
      </c>
      <c r="F1097" s="275"/>
      <c r="G1097" s="105" t="s">
        <v>1956</v>
      </c>
      <c r="H1097" s="276">
        <v>12</v>
      </c>
      <c r="I1097" s="275">
        <v>70356201</v>
      </c>
      <c r="J1097" s="106"/>
      <c r="K1097" s="107"/>
      <c r="L1097" s="149"/>
    </row>
    <row r="1098" spans="1:12" x14ac:dyDescent="0.25">
      <c r="A1098" s="476"/>
      <c r="B1098" s="275" t="s">
        <v>504</v>
      </c>
      <c r="C1098" s="276" t="s">
        <v>1964</v>
      </c>
      <c r="D1098" s="276">
        <v>12</v>
      </c>
      <c r="E1098" s="275">
        <v>69790323</v>
      </c>
      <c r="F1098" s="275"/>
      <c r="G1098" s="105" t="s">
        <v>1956</v>
      </c>
      <c r="H1098" s="276">
        <v>12</v>
      </c>
      <c r="I1098" s="275">
        <v>69808273</v>
      </c>
      <c r="J1098" s="106"/>
      <c r="K1098" s="107"/>
      <c r="L1098" s="149"/>
    </row>
    <row r="1099" spans="1:12" x14ac:dyDescent="0.25">
      <c r="A1099" s="476"/>
      <c r="B1099" s="275" t="s">
        <v>504</v>
      </c>
      <c r="C1099" s="276" t="s">
        <v>1964</v>
      </c>
      <c r="D1099" s="276">
        <v>12</v>
      </c>
      <c r="E1099" s="275">
        <v>69795567</v>
      </c>
      <c r="F1099" s="275"/>
      <c r="G1099" s="105" t="s">
        <v>1956</v>
      </c>
      <c r="H1099" s="276">
        <v>12</v>
      </c>
      <c r="I1099" s="275">
        <v>70128140</v>
      </c>
      <c r="J1099" s="106"/>
      <c r="K1099" s="107"/>
      <c r="L1099" s="149"/>
    </row>
    <row r="1100" spans="1:12" x14ac:dyDescent="0.25">
      <c r="A1100" s="476"/>
      <c r="B1100" s="275" t="s">
        <v>504</v>
      </c>
      <c r="C1100" s="276" t="s">
        <v>1954</v>
      </c>
      <c r="D1100" s="276">
        <v>12</v>
      </c>
      <c r="E1100" s="275">
        <v>69799522</v>
      </c>
      <c r="F1100" s="275"/>
      <c r="G1100" s="105" t="s">
        <v>1956</v>
      </c>
      <c r="H1100" s="276">
        <v>12</v>
      </c>
      <c r="I1100" s="275">
        <v>128565522</v>
      </c>
      <c r="J1100" s="106"/>
      <c r="K1100" s="107"/>
      <c r="L1100" s="149"/>
    </row>
    <row r="1101" spans="1:12" x14ac:dyDescent="0.25">
      <c r="A1101" s="476"/>
      <c r="B1101" s="275" t="s">
        <v>504</v>
      </c>
      <c r="C1101" s="276" t="s">
        <v>1954</v>
      </c>
      <c r="D1101" s="276">
        <v>12</v>
      </c>
      <c r="E1101" s="275">
        <v>69802172</v>
      </c>
      <c r="F1101" s="275"/>
      <c r="G1101" s="105" t="s">
        <v>1956</v>
      </c>
      <c r="H1101" s="276">
        <v>12</v>
      </c>
      <c r="I1101" s="275">
        <v>71211702</v>
      </c>
      <c r="J1101" s="106"/>
      <c r="K1101" s="107"/>
      <c r="L1101" s="149"/>
    </row>
    <row r="1102" spans="1:12" x14ac:dyDescent="0.25">
      <c r="A1102" s="476"/>
      <c r="B1102" s="275" t="s">
        <v>504</v>
      </c>
      <c r="C1102" s="276" t="s">
        <v>1954</v>
      </c>
      <c r="D1102" s="276">
        <v>12</v>
      </c>
      <c r="E1102" s="275">
        <v>69819388</v>
      </c>
      <c r="F1102" s="275"/>
      <c r="G1102" s="105" t="s">
        <v>1956</v>
      </c>
      <c r="H1102" s="276">
        <v>12</v>
      </c>
      <c r="I1102" s="275">
        <v>128373064</v>
      </c>
      <c r="J1102" s="106"/>
      <c r="K1102" s="107"/>
      <c r="L1102" s="149"/>
    </row>
    <row r="1103" spans="1:12" x14ac:dyDescent="0.25">
      <c r="A1103" s="476"/>
      <c r="B1103" s="275" t="s">
        <v>504</v>
      </c>
      <c r="C1103" s="276" t="s">
        <v>1960</v>
      </c>
      <c r="D1103" s="276">
        <v>12</v>
      </c>
      <c r="E1103" s="275">
        <v>69824342</v>
      </c>
      <c r="F1103" s="275"/>
      <c r="G1103" s="105" t="s">
        <v>1956</v>
      </c>
      <c r="H1103" s="276">
        <v>12</v>
      </c>
      <c r="I1103" s="275">
        <v>70276788</v>
      </c>
      <c r="J1103" s="106"/>
      <c r="K1103" s="107"/>
      <c r="L1103" s="149"/>
    </row>
    <row r="1104" spans="1:12" x14ac:dyDescent="0.25">
      <c r="A1104" s="476"/>
      <c r="B1104" s="275" t="s">
        <v>504</v>
      </c>
      <c r="C1104" s="276" t="s">
        <v>1954</v>
      </c>
      <c r="D1104" s="276">
        <v>12</v>
      </c>
      <c r="E1104" s="275">
        <v>69828446</v>
      </c>
      <c r="F1104" s="275"/>
      <c r="G1104" s="105" t="s">
        <v>1956</v>
      </c>
      <c r="H1104" s="276">
        <v>12</v>
      </c>
      <c r="I1104" s="275">
        <v>128774137</v>
      </c>
      <c r="J1104" s="106"/>
      <c r="K1104" s="107"/>
      <c r="L1104" s="149"/>
    </row>
    <row r="1105" spans="1:12" x14ac:dyDescent="0.25">
      <c r="A1105" s="476"/>
      <c r="B1105" s="275" t="s">
        <v>504</v>
      </c>
      <c r="C1105" s="276" t="s">
        <v>1964</v>
      </c>
      <c r="D1105" s="276">
        <v>12</v>
      </c>
      <c r="E1105" s="275">
        <v>69828560</v>
      </c>
      <c r="F1105" s="275"/>
      <c r="G1105" s="105" t="s">
        <v>1956</v>
      </c>
      <c r="H1105" s="276">
        <v>12</v>
      </c>
      <c r="I1105" s="275">
        <v>128672625</v>
      </c>
      <c r="J1105" s="106"/>
      <c r="K1105" s="107"/>
      <c r="L1105" s="149"/>
    </row>
    <row r="1106" spans="1:12" x14ac:dyDescent="0.25">
      <c r="A1106" s="476"/>
      <c r="B1106" s="275" t="s">
        <v>504</v>
      </c>
      <c r="C1106" s="276" t="s">
        <v>1964</v>
      </c>
      <c r="D1106" s="276">
        <v>12</v>
      </c>
      <c r="E1106" s="275">
        <v>69830550</v>
      </c>
      <c r="F1106" s="275"/>
      <c r="G1106" s="105" t="s">
        <v>1956</v>
      </c>
      <c r="H1106" s="276">
        <v>12</v>
      </c>
      <c r="I1106" s="275">
        <v>70246124</v>
      </c>
      <c r="J1106" s="106"/>
      <c r="K1106" s="107"/>
      <c r="L1106" s="149"/>
    </row>
    <row r="1107" spans="1:12" x14ac:dyDescent="0.25">
      <c r="A1107" s="476"/>
      <c r="B1107" s="275" t="s">
        <v>504</v>
      </c>
      <c r="C1107" s="276" t="s">
        <v>1954</v>
      </c>
      <c r="D1107" s="276">
        <v>12</v>
      </c>
      <c r="E1107" s="275">
        <v>69832225</v>
      </c>
      <c r="F1107" s="275"/>
      <c r="G1107" s="105" t="s">
        <v>1956</v>
      </c>
      <c r="H1107" s="276">
        <v>12</v>
      </c>
      <c r="I1107" s="275">
        <v>69928528</v>
      </c>
      <c r="J1107" s="106"/>
      <c r="K1107" s="107"/>
      <c r="L1107" s="149"/>
    </row>
    <row r="1108" spans="1:12" x14ac:dyDescent="0.25">
      <c r="A1108" s="476"/>
      <c r="B1108" s="275" t="s">
        <v>504</v>
      </c>
      <c r="C1108" s="276" t="s">
        <v>1964</v>
      </c>
      <c r="D1108" s="276">
        <v>12</v>
      </c>
      <c r="E1108" s="275">
        <v>69842304</v>
      </c>
      <c r="F1108" s="275"/>
      <c r="G1108" s="105" t="s">
        <v>1956</v>
      </c>
      <c r="H1108" s="276">
        <v>12</v>
      </c>
      <c r="I1108" s="275">
        <v>128561331</v>
      </c>
      <c r="J1108" s="106"/>
      <c r="K1108" s="107"/>
      <c r="L1108" s="149"/>
    </row>
    <row r="1109" spans="1:12" x14ac:dyDescent="0.25">
      <c r="A1109" s="476"/>
      <c r="B1109" s="275" t="s">
        <v>504</v>
      </c>
      <c r="C1109" s="276" t="s">
        <v>1954</v>
      </c>
      <c r="D1109" s="276">
        <v>12</v>
      </c>
      <c r="E1109" s="275">
        <v>69846512</v>
      </c>
      <c r="F1109" s="275"/>
      <c r="G1109" s="105" t="s">
        <v>1956</v>
      </c>
      <c r="H1109" s="276">
        <v>12</v>
      </c>
      <c r="I1109" s="275">
        <v>70855496</v>
      </c>
      <c r="J1109" s="106"/>
      <c r="K1109" s="107"/>
      <c r="L1109" s="149"/>
    </row>
    <row r="1110" spans="1:12" x14ac:dyDescent="0.25">
      <c r="A1110" s="476"/>
      <c r="B1110" s="275" t="s">
        <v>504</v>
      </c>
      <c r="C1110" s="276" t="s">
        <v>1960</v>
      </c>
      <c r="D1110" s="276">
        <v>12</v>
      </c>
      <c r="E1110" s="275">
        <v>69846927</v>
      </c>
      <c r="F1110" s="275"/>
      <c r="G1110" s="105" t="s">
        <v>1956</v>
      </c>
      <c r="H1110" s="276">
        <v>12</v>
      </c>
      <c r="I1110" s="275">
        <v>70854658</v>
      </c>
      <c r="J1110" s="106"/>
      <c r="K1110" s="107"/>
      <c r="L1110" s="149"/>
    </row>
    <row r="1111" spans="1:12" x14ac:dyDescent="0.25">
      <c r="A1111" s="476"/>
      <c r="B1111" s="275" t="s">
        <v>504</v>
      </c>
      <c r="C1111" s="276" t="s">
        <v>1964</v>
      </c>
      <c r="D1111" s="276">
        <v>12</v>
      </c>
      <c r="E1111" s="275">
        <v>69860164</v>
      </c>
      <c r="F1111" s="275"/>
      <c r="G1111" s="105" t="s">
        <v>1956</v>
      </c>
      <c r="H1111" s="276">
        <v>12</v>
      </c>
      <c r="I1111" s="275">
        <v>128084042</v>
      </c>
      <c r="J1111" s="106"/>
      <c r="K1111" s="107"/>
      <c r="L1111" s="149"/>
    </row>
    <row r="1112" spans="1:12" x14ac:dyDescent="0.25">
      <c r="A1112" s="476"/>
      <c r="B1112" s="275" t="s">
        <v>504</v>
      </c>
      <c r="C1112" s="276" t="s">
        <v>1960</v>
      </c>
      <c r="D1112" s="276">
        <v>12</v>
      </c>
      <c r="E1112" s="275">
        <v>69883250</v>
      </c>
      <c r="F1112" s="275"/>
      <c r="G1112" s="105" t="s">
        <v>1956</v>
      </c>
      <c r="H1112" s="276">
        <v>12</v>
      </c>
      <c r="I1112" s="275">
        <v>71074913</v>
      </c>
      <c r="J1112" s="106"/>
      <c r="K1112" s="107"/>
      <c r="L1112" s="149"/>
    </row>
    <row r="1113" spans="1:12" x14ac:dyDescent="0.25">
      <c r="A1113" s="476"/>
      <c r="B1113" s="275" t="s">
        <v>504</v>
      </c>
      <c r="C1113" s="276" t="s">
        <v>1960</v>
      </c>
      <c r="D1113" s="276">
        <v>12</v>
      </c>
      <c r="E1113" s="275">
        <v>69889418</v>
      </c>
      <c r="F1113" s="275"/>
      <c r="G1113" s="105" t="s">
        <v>1956</v>
      </c>
      <c r="H1113" s="276">
        <v>12</v>
      </c>
      <c r="I1113" s="275">
        <v>128133616</v>
      </c>
      <c r="J1113" s="106"/>
      <c r="K1113" s="107"/>
      <c r="L1113" s="149"/>
    </row>
    <row r="1114" spans="1:12" x14ac:dyDescent="0.25">
      <c r="A1114" s="476"/>
      <c r="B1114" s="275" t="s">
        <v>504</v>
      </c>
      <c r="C1114" s="276" t="s">
        <v>1960</v>
      </c>
      <c r="D1114" s="276">
        <v>12</v>
      </c>
      <c r="E1114" s="275">
        <v>69901379</v>
      </c>
      <c r="F1114" s="275"/>
      <c r="G1114" s="105" t="s">
        <v>1956</v>
      </c>
      <c r="H1114" s="276">
        <v>12</v>
      </c>
      <c r="I1114" s="275">
        <v>128793697</v>
      </c>
      <c r="J1114" s="106"/>
      <c r="K1114" s="107"/>
      <c r="L1114" s="149"/>
    </row>
    <row r="1115" spans="1:12" x14ac:dyDescent="0.25">
      <c r="A1115" s="476"/>
      <c r="B1115" s="275" t="s">
        <v>504</v>
      </c>
      <c r="C1115" s="276" t="s">
        <v>1964</v>
      </c>
      <c r="D1115" s="276">
        <v>12</v>
      </c>
      <c r="E1115" s="275">
        <v>69910713</v>
      </c>
      <c r="F1115" s="275"/>
      <c r="G1115" s="105" t="s">
        <v>1956</v>
      </c>
      <c r="H1115" s="276">
        <v>12</v>
      </c>
      <c r="I1115" s="275">
        <v>128617038</v>
      </c>
      <c r="J1115" s="106"/>
      <c r="K1115" s="107"/>
      <c r="L1115" s="149"/>
    </row>
    <row r="1116" spans="1:12" x14ac:dyDescent="0.25">
      <c r="A1116" s="476"/>
      <c r="B1116" s="275" t="s">
        <v>504</v>
      </c>
      <c r="C1116" s="276" t="s">
        <v>1954</v>
      </c>
      <c r="D1116" s="276">
        <v>12</v>
      </c>
      <c r="E1116" s="275">
        <v>69916841</v>
      </c>
      <c r="F1116" s="275"/>
      <c r="G1116" s="105" t="s">
        <v>1956</v>
      </c>
      <c r="H1116" s="276">
        <v>12</v>
      </c>
      <c r="I1116" s="275">
        <v>128443582</v>
      </c>
      <c r="J1116" s="106"/>
      <c r="K1116" s="107"/>
      <c r="L1116" s="149"/>
    </row>
    <row r="1117" spans="1:12" x14ac:dyDescent="0.25">
      <c r="A1117" s="476"/>
      <c r="B1117" s="275" t="s">
        <v>504</v>
      </c>
      <c r="C1117" s="276" t="s">
        <v>1960</v>
      </c>
      <c r="D1117" s="276">
        <v>12</v>
      </c>
      <c r="E1117" s="275">
        <v>69919294</v>
      </c>
      <c r="F1117" s="275"/>
      <c r="G1117" s="105" t="s">
        <v>1956</v>
      </c>
      <c r="H1117" s="276">
        <v>12</v>
      </c>
      <c r="I1117" s="275">
        <v>71034983</v>
      </c>
      <c r="J1117" s="106"/>
      <c r="K1117" s="107"/>
      <c r="L1117" s="149"/>
    </row>
    <row r="1118" spans="1:12" x14ac:dyDescent="0.25">
      <c r="A1118" s="476"/>
      <c r="B1118" s="275" t="s">
        <v>504</v>
      </c>
      <c r="C1118" s="276" t="s">
        <v>1964</v>
      </c>
      <c r="D1118" s="276">
        <v>12</v>
      </c>
      <c r="E1118" s="275">
        <v>69926475</v>
      </c>
      <c r="F1118" s="275"/>
      <c r="G1118" s="105" t="s">
        <v>1956</v>
      </c>
      <c r="H1118" s="276">
        <v>12</v>
      </c>
      <c r="I1118" s="275">
        <v>128420121</v>
      </c>
      <c r="J1118" s="106"/>
      <c r="K1118" s="107"/>
      <c r="L1118" s="149"/>
    </row>
    <row r="1119" spans="1:12" x14ac:dyDescent="0.25">
      <c r="A1119" s="476"/>
      <c r="B1119" s="275" t="s">
        <v>504</v>
      </c>
      <c r="C1119" s="276" t="s">
        <v>1954</v>
      </c>
      <c r="D1119" s="276">
        <v>12</v>
      </c>
      <c r="E1119" s="275">
        <v>69941132</v>
      </c>
      <c r="F1119" s="275"/>
      <c r="G1119" s="105" t="s">
        <v>1956</v>
      </c>
      <c r="H1119" s="276">
        <v>12</v>
      </c>
      <c r="I1119" s="275">
        <v>70319674</v>
      </c>
      <c r="J1119" s="106"/>
      <c r="K1119" s="107"/>
      <c r="L1119" s="149"/>
    </row>
    <row r="1120" spans="1:12" x14ac:dyDescent="0.25">
      <c r="A1120" s="476"/>
      <c r="B1120" s="275" t="s">
        <v>504</v>
      </c>
      <c r="C1120" s="276" t="s">
        <v>1964</v>
      </c>
      <c r="D1120" s="276">
        <v>12</v>
      </c>
      <c r="E1120" s="275">
        <v>69946868</v>
      </c>
      <c r="F1120" s="275"/>
      <c r="G1120" s="105" t="s">
        <v>1956</v>
      </c>
      <c r="H1120" s="276">
        <v>12</v>
      </c>
      <c r="I1120" s="275">
        <v>128158692</v>
      </c>
      <c r="J1120" s="106"/>
      <c r="K1120" s="107"/>
      <c r="L1120" s="149"/>
    </row>
    <row r="1121" spans="1:12" x14ac:dyDescent="0.25">
      <c r="A1121" s="476"/>
      <c r="B1121" s="275" t="s">
        <v>504</v>
      </c>
      <c r="C1121" s="276" t="s">
        <v>1954</v>
      </c>
      <c r="D1121" s="276">
        <v>12</v>
      </c>
      <c r="E1121" s="275">
        <v>69950012</v>
      </c>
      <c r="F1121" s="275"/>
      <c r="G1121" s="105" t="s">
        <v>1956</v>
      </c>
      <c r="H1121" s="276">
        <v>12</v>
      </c>
      <c r="I1121" s="275">
        <v>128429524</v>
      </c>
      <c r="J1121" s="106"/>
      <c r="K1121" s="107"/>
      <c r="L1121" s="149"/>
    </row>
    <row r="1122" spans="1:12" x14ac:dyDescent="0.25">
      <c r="A1122" s="476"/>
      <c r="B1122" s="275" t="s">
        <v>504</v>
      </c>
      <c r="C1122" s="276" t="s">
        <v>1954</v>
      </c>
      <c r="D1122" s="276">
        <v>12</v>
      </c>
      <c r="E1122" s="275">
        <v>69964326</v>
      </c>
      <c r="F1122" s="275"/>
      <c r="G1122" s="105" t="s">
        <v>1956</v>
      </c>
      <c r="H1122" s="276">
        <v>12</v>
      </c>
      <c r="I1122" s="275">
        <v>128455869</v>
      </c>
      <c r="J1122" s="106"/>
      <c r="K1122" s="107"/>
      <c r="L1122" s="149"/>
    </row>
    <row r="1123" spans="1:12" x14ac:dyDescent="0.25">
      <c r="A1123" s="476"/>
      <c r="B1123" s="275" t="s">
        <v>504</v>
      </c>
      <c r="C1123" s="276" t="s">
        <v>1964</v>
      </c>
      <c r="D1123" s="276">
        <v>12</v>
      </c>
      <c r="E1123" s="275">
        <v>69975111</v>
      </c>
      <c r="F1123" s="275"/>
      <c r="G1123" s="105" t="s">
        <v>1956</v>
      </c>
      <c r="H1123" s="276">
        <v>12</v>
      </c>
      <c r="I1123" s="275">
        <v>70684427</v>
      </c>
      <c r="J1123" s="106"/>
      <c r="K1123" s="107"/>
      <c r="L1123" s="149"/>
    </row>
    <row r="1124" spans="1:12" x14ac:dyDescent="0.25">
      <c r="A1124" s="476"/>
      <c r="B1124" s="275" t="s">
        <v>504</v>
      </c>
      <c r="C1124" s="276" t="s">
        <v>1960</v>
      </c>
      <c r="D1124" s="276">
        <v>12</v>
      </c>
      <c r="E1124" s="275">
        <v>69978040</v>
      </c>
      <c r="F1124" s="275"/>
      <c r="G1124" s="105" t="s">
        <v>1956</v>
      </c>
      <c r="H1124" s="276">
        <v>12</v>
      </c>
      <c r="I1124" s="275">
        <v>128538721</v>
      </c>
      <c r="J1124" s="106"/>
      <c r="K1124" s="107"/>
      <c r="L1124" s="149"/>
    </row>
    <row r="1125" spans="1:12" x14ac:dyDescent="0.25">
      <c r="A1125" s="476"/>
      <c r="B1125" s="275" t="s">
        <v>504</v>
      </c>
      <c r="C1125" s="276" t="s">
        <v>1960</v>
      </c>
      <c r="D1125" s="276">
        <v>12</v>
      </c>
      <c r="E1125" s="275">
        <v>69996997</v>
      </c>
      <c r="F1125" s="275"/>
      <c r="G1125" s="105" t="s">
        <v>1956</v>
      </c>
      <c r="H1125" s="276">
        <v>12</v>
      </c>
      <c r="I1125" s="275">
        <v>70298975</v>
      </c>
      <c r="J1125" s="106"/>
      <c r="K1125" s="107"/>
      <c r="L1125" s="149"/>
    </row>
    <row r="1126" spans="1:12" x14ac:dyDescent="0.25">
      <c r="A1126" s="476"/>
      <c r="B1126" s="275" t="s">
        <v>504</v>
      </c>
      <c r="C1126" s="276" t="s">
        <v>1964</v>
      </c>
      <c r="D1126" s="276">
        <v>12</v>
      </c>
      <c r="E1126" s="275">
        <v>70012396</v>
      </c>
      <c r="F1126" s="275"/>
      <c r="G1126" s="105" t="s">
        <v>1956</v>
      </c>
      <c r="H1126" s="276">
        <v>12</v>
      </c>
      <c r="I1126" s="275">
        <v>128684997</v>
      </c>
      <c r="J1126" s="106"/>
      <c r="K1126" s="107"/>
      <c r="L1126" s="149"/>
    </row>
    <row r="1127" spans="1:12" x14ac:dyDescent="0.25">
      <c r="A1127" s="476"/>
      <c r="B1127" s="275" t="s">
        <v>504</v>
      </c>
      <c r="C1127" s="276" t="s">
        <v>1964</v>
      </c>
      <c r="D1127" s="276">
        <v>12</v>
      </c>
      <c r="E1127" s="275">
        <v>70019217</v>
      </c>
      <c r="F1127" s="275"/>
      <c r="G1127" s="105" t="s">
        <v>1956</v>
      </c>
      <c r="H1127" s="276">
        <v>12</v>
      </c>
      <c r="I1127" s="275">
        <v>128315763</v>
      </c>
      <c r="J1127" s="106"/>
      <c r="K1127" s="107"/>
      <c r="L1127" s="149"/>
    </row>
    <row r="1128" spans="1:12" x14ac:dyDescent="0.25">
      <c r="A1128" s="476"/>
      <c r="B1128" s="275" t="s">
        <v>504</v>
      </c>
      <c r="C1128" s="276" t="s">
        <v>1960</v>
      </c>
      <c r="D1128" s="276">
        <v>12</v>
      </c>
      <c r="E1128" s="275">
        <v>70022673</v>
      </c>
      <c r="F1128" s="275"/>
      <c r="G1128" s="105" t="s">
        <v>1956</v>
      </c>
      <c r="H1128" s="276">
        <v>12</v>
      </c>
      <c r="I1128" s="275">
        <v>128607402</v>
      </c>
      <c r="J1128" s="106"/>
      <c r="K1128" s="107"/>
      <c r="L1128" s="149"/>
    </row>
    <row r="1129" spans="1:12" x14ac:dyDescent="0.25">
      <c r="A1129" s="476"/>
      <c r="B1129" s="275" t="s">
        <v>504</v>
      </c>
      <c r="C1129" s="276" t="s">
        <v>1954</v>
      </c>
      <c r="D1129" s="276">
        <v>12</v>
      </c>
      <c r="E1129" s="275">
        <v>70034580</v>
      </c>
      <c r="F1129" s="275"/>
      <c r="G1129" s="105" t="s">
        <v>1956</v>
      </c>
      <c r="H1129" s="276">
        <v>12</v>
      </c>
      <c r="I1129" s="275">
        <v>128231330</v>
      </c>
      <c r="J1129" s="106"/>
      <c r="K1129" s="107"/>
      <c r="L1129" s="149"/>
    </row>
    <row r="1130" spans="1:12" x14ac:dyDescent="0.25">
      <c r="A1130" s="476"/>
      <c r="B1130" s="275" t="s">
        <v>504</v>
      </c>
      <c r="C1130" s="276" t="s">
        <v>1964</v>
      </c>
      <c r="D1130" s="276">
        <v>12</v>
      </c>
      <c r="E1130" s="275">
        <v>70034943</v>
      </c>
      <c r="F1130" s="275"/>
      <c r="G1130" s="105" t="s">
        <v>1956</v>
      </c>
      <c r="H1130" s="276">
        <v>12</v>
      </c>
      <c r="I1130" s="275">
        <v>128489760</v>
      </c>
      <c r="J1130" s="106"/>
      <c r="K1130" s="107"/>
      <c r="L1130" s="149"/>
    </row>
    <row r="1131" spans="1:12" x14ac:dyDescent="0.25">
      <c r="A1131" s="476"/>
      <c r="B1131" s="275" t="s">
        <v>504</v>
      </c>
      <c r="C1131" s="276" t="s">
        <v>1960</v>
      </c>
      <c r="D1131" s="276">
        <v>12</v>
      </c>
      <c r="E1131" s="275">
        <v>70037169</v>
      </c>
      <c r="F1131" s="275"/>
      <c r="G1131" s="105" t="s">
        <v>1956</v>
      </c>
      <c r="H1131" s="276">
        <v>12</v>
      </c>
      <c r="I1131" s="275">
        <v>71258036</v>
      </c>
      <c r="J1131" s="106"/>
      <c r="K1131" s="107"/>
      <c r="L1131" s="149"/>
    </row>
    <row r="1132" spans="1:12" x14ac:dyDescent="0.25">
      <c r="A1132" s="476"/>
      <c r="B1132" s="275" t="s">
        <v>504</v>
      </c>
      <c r="C1132" s="276" t="s">
        <v>1960</v>
      </c>
      <c r="D1132" s="276">
        <v>12</v>
      </c>
      <c r="E1132" s="275">
        <v>70040020</v>
      </c>
      <c r="F1132" s="275"/>
      <c r="G1132" s="105" t="s">
        <v>1956</v>
      </c>
      <c r="H1132" s="276">
        <v>12</v>
      </c>
      <c r="I1132" s="275">
        <v>128602619</v>
      </c>
      <c r="J1132" s="106"/>
      <c r="K1132" s="107"/>
      <c r="L1132" s="149"/>
    </row>
    <row r="1133" spans="1:12" x14ac:dyDescent="0.25">
      <c r="A1133" s="476"/>
      <c r="B1133" s="275" t="s">
        <v>504</v>
      </c>
      <c r="C1133" s="276" t="s">
        <v>1960</v>
      </c>
      <c r="D1133" s="276">
        <v>12</v>
      </c>
      <c r="E1133" s="275">
        <v>70055687</v>
      </c>
      <c r="F1133" s="275"/>
      <c r="G1133" s="105" t="s">
        <v>1956</v>
      </c>
      <c r="H1133" s="276">
        <v>12</v>
      </c>
      <c r="I1133" s="275">
        <v>128354203</v>
      </c>
      <c r="J1133" s="106"/>
      <c r="K1133" s="107"/>
      <c r="L1133" s="149"/>
    </row>
    <row r="1134" spans="1:12" x14ac:dyDescent="0.25">
      <c r="A1134" s="476"/>
      <c r="B1134" s="275" t="s">
        <v>504</v>
      </c>
      <c r="C1134" s="276" t="s">
        <v>1964</v>
      </c>
      <c r="D1134" s="276">
        <v>12</v>
      </c>
      <c r="E1134" s="275">
        <v>70100630</v>
      </c>
      <c r="F1134" s="275"/>
      <c r="G1134" s="105" t="s">
        <v>1956</v>
      </c>
      <c r="H1134" s="276">
        <v>12</v>
      </c>
      <c r="I1134" s="275">
        <v>70365634</v>
      </c>
      <c r="J1134" s="106"/>
      <c r="K1134" s="107"/>
      <c r="L1134" s="149"/>
    </row>
    <row r="1135" spans="1:12" x14ac:dyDescent="0.25">
      <c r="A1135" s="476"/>
      <c r="B1135" s="275" t="s">
        <v>504</v>
      </c>
      <c r="C1135" s="276" t="s">
        <v>1960</v>
      </c>
      <c r="D1135" s="276">
        <v>12</v>
      </c>
      <c r="E1135" s="275">
        <v>70128405</v>
      </c>
      <c r="F1135" s="275"/>
      <c r="G1135" s="105" t="s">
        <v>1956</v>
      </c>
      <c r="H1135" s="276">
        <v>12</v>
      </c>
      <c r="I1135" s="275">
        <v>128674082</v>
      </c>
      <c r="J1135" s="106"/>
      <c r="K1135" s="107"/>
      <c r="L1135" s="149"/>
    </row>
    <row r="1136" spans="1:12" x14ac:dyDescent="0.25">
      <c r="A1136" s="476"/>
      <c r="B1136" s="275" t="s">
        <v>504</v>
      </c>
      <c r="C1136" s="276" t="s">
        <v>1954</v>
      </c>
      <c r="D1136" s="276">
        <v>12</v>
      </c>
      <c r="E1136" s="275">
        <v>70135287</v>
      </c>
      <c r="F1136" s="275"/>
      <c r="G1136" s="105" t="s">
        <v>1956</v>
      </c>
      <c r="H1136" s="276">
        <v>12</v>
      </c>
      <c r="I1136" s="275">
        <v>71117322</v>
      </c>
      <c r="J1136" s="106"/>
      <c r="K1136" s="107"/>
      <c r="L1136" s="149"/>
    </row>
    <row r="1137" spans="1:12" x14ac:dyDescent="0.25">
      <c r="A1137" s="476"/>
      <c r="B1137" s="275" t="s">
        <v>504</v>
      </c>
      <c r="C1137" s="276" t="s">
        <v>1960</v>
      </c>
      <c r="D1137" s="276">
        <v>12</v>
      </c>
      <c r="E1137" s="275">
        <v>70137154</v>
      </c>
      <c r="F1137" s="275"/>
      <c r="G1137" s="105" t="s">
        <v>1956</v>
      </c>
      <c r="H1137" s="276">
        <v>12</v>
      </c>
      <c r="I1137" s="275">
        <v>128124265</v>
      </c>
      <c r="J1137" s="106"/>
      <c r="K1137" s="107"/>
      <c r="L1137" s="149"/>
    </row>
    <row r="1138" spans="1:12" x14ac:dyDescent="0.25">
      <c r="A1138" s="476"/>
      <c r="B1138" s="275" t="s">
        <v>504</v>
      </c>
      <c r="C1138" s="276" t="s">
        <v>1964</v>
      </c>
      <c r="D1138" s="276">
        <v>12</v>
      </c>
      <c r="E1138" s="275">
        <v>70148376</v>
      </c>
      <c r="F1138" s="275"/>
      <c r="G1138" s="105" t="s">
        <v>1956</v>
      </c>
      <c r="H1138" s="276">
        <v>12</v>
      </c>
      <c r="I1138" s="275">
        <v>128079861</v>
      </c>
      <c r="J1138" s="106"/>
      <c r="K1138" s="107"/>
      <c r="L1138" s="149"/>
    </row>
    <row r="1139" spans="1:12" x14ac:dyDescent="0.25">
      <c r="A1139" s="476"/>
      <c r="B1139" s="275" t="s">
        <v>504</v>
      </c>
      <c r="C1139" s="276" t="s">
        <v>1964</v>
      </c>
      <c r="D1139" s="276">
        <v>12</v>
      </c>
      <c r="E1139" s="275">
        <v>70183272</v>
      </c>
      <c r="F1139" s="275"/>
      <c r="G1139" s="105" t="s">
        <v>1956</v>
      </c>
      <c r="H1139" s="276">
        <v>12</v>
      </c>
      <c r="I1139" s="275">
        <v>128033571</v>
      </c>
      <c r="J1139" s="106"/>
      <c r="K1139" s="107"/>
      <c r="L1139" s="149"/>
    </row>
    <row r="1140" spans="1:12" x14ac:dyDescent="0.25">
      <c r="A1140" s="476"/>
      <c r="B1140" s="275" t="s">
        <v>504</v>
      </c>
      <c r="C1140" s="276" t="s">
        <v>1960</v>
      </c>
      <c r="D1140" s="276">
        <v>12</v>
      </c>
      <c r="E1140" s="275">
        <v>70184242</v>
      </c>
      <c r="F1140" s="275"/>
      <c r="G1140" s="105" t="s">
        <v>1956</v>
      </c>
      <c r="H1140" s="276">
        <v>12</v>
      </c>
      <c r="I1140" s="275">
        <v>70325325</v>
      </c>
      <c r="J1140" s="106"/>
      <c r="K1140" s="107"/>
      <c r="L1140" s="149"/>
    </row>
    <row r="1141" spans="1:12" x14ac:dyDescent="0.25">
      <c r="A1141" s="476"/>
      <c r="B1141" s="275" t="s">
        <v>504</v>
      </c>
      <c r="C1141" s="276" t="s">
        <v>1964</v>
      </c>
      <c r="D1141" s="276">
        <v>12</v>
      </c>
      <c r="E1141" s="275">
        <v>70201423</v>
      </c>
      <c r="F1141" s="275"/>
      <c r="G1141" s="105" t="s">
        <v>1956</v>
      </c>
      <c r="H1141" s="276">
        <v>12</v>
      </c>
      <c r="I1141" s="275">
        <v>128468099</v>
      </c>
      <c r="J1141" s="106"/>
      <c r="K1141" s="107"/>
      <c r="L1141" s="149"/>
    </row>
    <row r="1142" spans="1:12" x14ac:dyDescent="0.25">
      <c r="A1142" s="476"/>
      <c r="B1142" s="275" t="s">
        <v>504</v>
      </c>
      <c r="C1142" s="276" t="s">
        <v>1960</v>
      </c>
      <c r="D1142" s="276">
        <v>12</v>
      </c>
      <c r="E1142" s="275">
        <v>70210672</v>
      </c>
      <c r="F1142" s="275"/>
      <c r="G1142" s="105" t="s">
        <v>1956</v>
      </c>
      <c r="H1142" s="276">
        <v>12</v>
      </c>
      <c r="I1142" s="275">
        <v>70986579</v>
      </c>
      <c r="J1142" s="106"/>
      <c r="K1142" s="107"/>
      <c r="L1142" s="149"/>
    </row>
    <row r="1143" spans="1:12" x14ac:dyDescent="0.25">
      <c r="A1143" s="476"/>
      <c r="B1143" s="275" t="s">
        <v>504</v>
      </c>
      <c r="C1143" s="276" t="s">
        <v>1960</v>
      </c>
      <c r="D1143" s="276">
        <v>12</v>
      </c>
      <c r="E1143" s="275">
        <v>70211617</v>
      </c>
      <c r="F1143" s="275"/>
      <c r="G1143" s="105" t="s">
        <v>1956</v>
      </c>
      <c r="H1143" s="276">
        <v>12</v>
      </c>
      <c r="I1143" s="275">
        <v>70372919</v>
      </c>
      <c r="J1143" s="106"/>
      <c r="K1143" s="107"/>
      <c r="L1143" s="149"/>
    </row>
    <row r="1144" spans="1:12" x14ac:dyDescent="0.25">
      <c r="A1144" s="476"/>
      <c r="B1144" s="275" t="s">
        <v>504</v>
      </c>
      <c r="C1144" s="276" t="s">
        <v>1954</v>
      </c>
      <c r="D1144" s="276">
        <v>12</v>
      </c>
      <c r="E1144" s="275">
        <v>70226989</v>
      </c>
      <c r="F1144" s="275"/>
      <c r="G1144" s="105" t="s">
        <v>1956</v>
      </c>
      <c r="H1144" s="276">
        <v>12</v>
      </c>
      <c r="I1144" s="275">
        <v>128128708</v>
      </c>
      <c r="J1144" s="106"/>
      <c r="K1144" s="107"/>
      <c r="L1144" s="149"/>
    </row>
    <row r="1145" spans="1:12" x14ac:dyDescent="0.25">
      <c r="A1145" s="476"/>
      <c r="B1145" s="275" t="s">
        <v>504</v>
      </c>
      <c r="C1145" s="276" t="s">
        <v>1960</v>
      </c>
      <c r="D1145" s="276">
        <v>12</v>
      </c>
      <c r="E1145" s="275">
        <v>70241900</v>
      </c>
      <c r="F1145" s="275"/>
      <c r="G1145" s="105" t="s">
        <v>1956</v>
      </c>
      <c r="H1145" s="276">
        <v>12</v>
      </c>
      <c r="I1145" s="275">
        <v>128028673</v>
      </c>
      <c r="J1145" s="106"/>
      <c r="K1145" s="107"/>
      <c r="L1145" s="149"/>
    </row>
    <row r="1146" spans="1:12" x14ac:dyDescent="0.25">
      <c r="A1146" s="476"/>
      <c r="B1146" s="275" t="s">
        <v>504</v>
      </c>
      <c r="C1146" s="276" t="s">
        <v>1960</v>
      </c>
      <c r="D1146" s="276">
        <v>12</v>
      </c>
      <c r="E1146" s="275">
        <v>70262251</v>
      </c>
      <c r="F1146" s="275"/>
      <c r="G1146" s="105" t="s">
        <v>1956</v>
      </c>
      <c r="H1146" s="276">
        <v>12</v>
      </c>
      <c r="I1146" s="275">
        <v>71122142</v>
      </c>
      <c r="J1146" s="106"/>
      <c r="K1146" s="107"/>
      <c r="L1146" s="149"/>
    </row>
    <row r="1147" spans="1:12" x14ac:dyDescent="0.25">
      <c r="A1147" s="476"/>
      <c r="B1147" s="275" t="s">
        <v>504</v>
      </c>
      <c r="C1147" s="276" t="s">
        <v>1960</v>
      </c>
      <c r="D1147" s="276">
        <v>12</v>
      </c>
      <c r="E1147" s="275">
        <v>70273970</v>
      </c>
      <c r="F1147" s="275"/>
      <c r="G1147" s="105" t="s">
        <v>1956</v>
      </c>
      <c r="H1147" s="276">
        <v>12</v>
      </c>
      <c r="I1147" s="275">
        <v>70288088</v>
      </c>
      <c r="J1147" s="106"/>
      <c r="K1147" s="107"/>
      <c r="L1147" s="149"/>
    </row>
    <row r="1148" spans="1:12" x14ac:dyDescent="0.25">
      <c r="A1148" s="476"/>
      <c r="B1148" s="275" t="s">
        <v>504</v>
      </c>
      <c r="C1148" s="276" t="s">
        <v>1964</v>
      </c>
      <c r="D1148" s="276">
        <v>12</v>
      </c>
      <c r="E1148" s="275">
        <v>70304239</v>
      </c>
      <c r="F1148" s="275"/>
      <c r="G1148" s="105" t="s">
        <v>1956</v>
      </c>
      <c r="H1148" s="276">
        <v>12</v>
      </c>
      <c r="I1148" s="275">
        <v>70371661</v>
      </c>
      <c r="J1148" s="106"/>
      <c r="K1148" s="107"/>
      <c r="L1148" s="149"/>
    </row>
    <row r="1149" spans="1:12" x14ac:dyDescent="0.25">
      <c r="A1149" s="476"/>
      <c r="B1149" s="275" t="s">
        <v>504</v>
      </c>
      <c r="C1149" s="276" t="s">
        <v>1954</v>
      </c>
      <c r="D1149" s="276">
        <v>12</v>
      </c>
      <c r="E1149" s="275">
        <v>70309447</v>
      </c>
      <c r="F1149" s="275"/>
      <c r="G1149" s="105" t="s">
        <v>1956</v>
      </c>
      <c r="H1149" s="276">
        <v>12</v>
      </c>
      <c r="I1149" s="275">
        <v>70387912</v>
      </c>
      <c r="J1149" s="106"/>
      <c r="K1149" s="107"/>
      <c r="L1149" s="149"/>
    </row>
    <row r="1150" spans="1:12" x14ac:dyDescent="0.25">
      <c r="A1150" s="476"/>
      <c r="B1150" s="275" t="s">
        <v>504</v>
      </c>
      <c r="C1150" s="276" t="s">
        <v>1964</v>
      </c>
      <c r="D1150" s="276">
        <v>12</v>
      </c>
      <c r="E1150" s="275">
        <v>70319498</v>
      </c>
      <c r="F1150" s="275"/>
      <c r="G1150" s="105" t="s">
        <v>1956</v>
      </c>
      <c r="H1150" s="276">
        <v>12</v>
      </c>
      <c r="I1150" s="275">
        <v>128233766</v>
      </c>
      <c r="J1150" s="106"/>
      <c r="K1150" s="107"/>
      <c r="L1150" s="149"/>
    </row>
    <row r="1151" spans="1:12" x14ac:dyDescent="0.25">
      <c r="A1151" s="476"/>
      <c r="B1151" s="275" t="s">
        <v>504</v>
      </c>
      <c r="C1151" s="276" t="s">
        <v>1964</v>
      </c>
      <c r="D1151" s="276">
        <v>12</v>
      </c>
      <c r="E1151" s="275">
        <v>70371909</v>
      </c>
      <c r="F1151" s="275"/>
      <c r="G1151" s="105" t="s">
        <v>1956</v>
      </c>
      <c r="H1151" s="276">
        <v>12</v>
      </c>
      <c r="I1151" s="275">
        <v>70447185</v>
      </c>
      <c r="J1151" s="106"/>
      <c r="K1151" s="107"/>
      <c r="L1151" s="149"/>
    </row>
    <row r="1152" spans="1:12" x14ac:dyDescent="0.25">
      <c r="A1152" s="476"/>
      <c r="B1152" s="275" t="s">
        <v>504</v>
      </c>
      <c r="C1152" s="276" t="s">
        <v>1964</v>
      </c>
      <c r="D1152" s="276">
        <v>12</v>
      </c>
      <c r="E1152" s="275">
        <v>70376189</v>
      </c>
      <c r="F1152" s="275"/>
      <c r="G1152" s="105" t="s">
        <v>1956</v>
      </c>
      <c r="H1152" s="276">
        <v>12</v>
      </c>
      <c r="I1152" s="275">
        <v>70449386</v>
      </c>
      <c r="J1152" s="106"/>
      <c r="K1152" s="107"/>
      <c r="L1152" s="149"/>
    </row>
    <row r="1153" spans="1:12" x14ac:dyDescent="0.25">
      <c r="A1153" s="476"/>
      <c r="B1153" s="275" t="s">
        <v>504</v>
      </c>
      <c r="C1153" s="276" t="s">
        <v>1960</v>
      </c>
      <c r="D1153" s="276">
        <v>12</v>
      </c>
      <c r="E1153" s="275">
        <v>70376341</v>
      </c>
      <c r="F1153" s="275"/>
      <c r="G1153" s="105" t="s">
        <v>1956</v>
      </c>
      <c r="H1153" s="276">
        <v>12</v>
      </c>
      <c r="I1153" s="275">
        <v>70929343</v>
      </c>
      <c r="J1153" s="106"/>
      <c r="K1153" s="107"/>
      <c r="L1153" s="149"/>
    </row>
    <row r="1154" spans="1:12" x14ac:dyDescent="0.25">
      <c r="A1154" s="476"/>
      <c r="B1154" s="275" t="s">
        <v>504</v>
      </c>
      <c r="C1154" s="276" t="s">
        <v>1964</v>
      </c>
      <c r="D1154" s="276">
        <v>12</v>
      </c>
      <c r="E1154" s="275">
        <v>70380009</v>
      </c>
      <c r="F1154" s="275"/>
      <c r="G1154" s="105" t="s">
        <v>1956</v>
      </c>
      <c r="H1154" s="276">
        <v>12</v>
      </c>
      <c r="I1154" s="275">
        <v>128775990</v>
      </c>
      <c r="J1154" s="106"/>
      <c r="K1154" s="107"/>
      <c r="L1154" s="149"/>
    </row>
    <row r="1155" spans="1:12" x14ac:dyDescent="0.25">
      <c r="A1155" s="476"/>
      <c r="B1155" s="275" t="s">
        <v>504</v>
      </c>
      <c r="C1155" s="276" t="s">
        <v>1964</v>
      </c>
      <c r="D1155" s="276">
        <v>12</v>
      </c>
      <c r="E1155" s="275">
        <v>70384859</v>
      </c>
      <c r="F1155" s="275"/>
      <c r="G1155" s="105" t="s">
        <v>1956</v>
      </c>
      <c r="H1155" s="276">
        <v>12</v>
      </c>
      <c r="I1155" s="275">
        <v>128762891</v>
      </c>
      <c r="J1155" s="106"/>
      <c r="K1155" s="107"/>
      <c r="L1155" s="149"/>
    </row>
    <row r="1156" spans="1:12" x14ac:dyDescent="0.25">
      <c r="A1156" s="476"/>
      <c r="B1156" s="275" t="s">
        <v>504</v>
      </c>
      <c r="C1156" s="276" t="s">
        <v>1954</v>
      </c>
      <c r="D1156" s="276">
        <v>12</v>
      </c>
      <c r="E1156" s="275">
        <v>70385256</v>
      </c>
      <c r="F1156" s="275"/>
      <c r="G1156" s="105" t="s">
        <v>1956</v>
      </c>
      <c r="H1156" s="276">
        <v>12</v>
      </c>
      <c r="I1156" s="275">
        <v>128489139</v>
      </c>
      <c r="J1156" s="106"/>
      <c r="K1156" s="107"/>
      <c r="L1156" s="149"/>
    </row>
    <row r="1157" spans="1:12" x14ac:dyDescent="0.25">
      <c r="A1157" s="476"/>
      <c r="B1157" s="275" t="s">
        <v>504</v>
      </c>
      <c r="C1157" s="276" t="s">
        <v>1954</v>
      </c>
      <c r="D1157" s="276">
        <v>12</v>
      </c>
      <c r="E1157" s="275">
        <v>70394252</v>
      </c>
      <c r="F1157" s="275"/>
      <c r="G1157" s="105" t="s">
        <v>1956</v>
      </c>
      <c r="H1157" s="276">
        <v>12</v>
      </c>
      <c r="I1157" s="275">
        <v>128511230</v>
      </c>
      <c r="J1157" s="106"/>
      <c r="K1157" s="107"/>
      <c r="L1157" s="149"/>
    </row>
    <row r="1158" spans="1:12" x14ac:dyDescent="0.25">
      <c r="A1158" s="476"/>
      <c r="B1158" s="275" t="s">
        <v>504</v>
      </c>
      <c r="C1158" s="276" t="s">
        <v>1960</v>
      </c>
      <c r="D1158" s="276">
        <v>12</v>
      </c>
      <c r="E1158" s="275">
        <v>70394604</v>
      </c>
      <c r="F1158" s="275"/>
      <c r="G1158" s="105" t="s">
        <v>1956</v>
      </c>
      <c r="H1158" s="276">
        <v>12</v>
      </c>
      <c r="I1158" s="275">
        <v>128054044</v>
      </c>
      <c r="J1158" s="106"/>
      <c r="K1158" s="107"/>
      <c r="L1158" s="149"/>
    </row>
    <row r="1159" spans="1:12" x14ac:dyDescent="0.25">
      <c r="A1159" s="476"/>
      <c r="B1159" s="275" t="s">
        <v>504</v>
      </c>
      <c r="C1159" s="276" t="s">
        <v>1964</v>
      </c>
      <c r="D1159" s="276">
        <v>12</v>
      </c>
      <c r="E1159" s="275">
        <v>70405059</v>
      </c>
      <c r="F1159" s="275"/>
      <c r="G1159" s="105" t="s">
        <v>1956</v>
      </c>
      <c r="H1159" s="276">
        <v>12</v>
      </c>
      <c r="I1159" s="275">
        <v>128490338</v>
      </c>
      <c r="J1159" s="106"/>
      <c r="K1159" s="107"/>
      <c r="L1159" s="149"/>
    </row>
    <row r="1160" spans="1:12" x14ac:dyDescent="0.25">
      <c r="A1160" s="476"/>
      <c r="B1160" s="275" t="s">
        <v>504</v>
      </c>
      <c r="C1160" s="276" t="s">
        <v>1964</v>
      </c>
      <c r="D1160" s="276">
        <v>12</v>
      </c>
      <c r="E1160" s="275">
        <v>70417753</v>
      </c>
      <c r="F1160" s="275"/>
      <c r="G1160" s="105" t="s">
        <v>1956</v>
      </c>
      <c r="H1160" s="276">
        <v>12</v>
      </c>
      <c r="I1160" s="275">
        <v>128634941</v>
      </c>
      <c r="J1160" s="106"/>
      <c r="K1160" s="107"/>
      <c r="L1160" s="149"/>
    </row>
    <row r="1161" spans="1:12" x14ac:dyDescent="0.25">
      <c r="A1161" s="476"/>
      <c r="B1161" s="275" t="s">
        <v>504</v>
      </c>
      <c r="C1161" s="276" t="s">
        <v>1964</v>
      </c>
      <c r="D1161" s="276">
        <v>12</v>
      </c>
      <c r="E1161" s="275">
        <v>70421767</v>
      </c>
      <c r="F1161" s="275"/>
      <c r="G1161" s="105" t="s">
        <v>1956</v>
      </c>
      <c r="H1161" s="276">
        <v>12</v>
      </c>
      <c r="I1161" s="275">
        <v>128066545</v>
      </c>
      <c r="J1161" s="106"/>
      <c r="K1161" s="107"/>
      <c r="L1161" s="149"/>
    </row>
    <row r="1162" spans="1:12" x14ac:dyDescent="0.25">
      <c r="A1162" s="476"/>
      <c r="B1162" s="275" t="s">
        <v>504</v>
      </c>
      <c r="C1162" s="276" t="s">
        <v>1960</v>
      </c>
      <c r="D1162" s="276">
        <v>12</v>
      </c>
      <c r="E1162" s="275">
        <v>70465790</v>
      </c>
      <c r="F1162" s="275"/>
      <c r="G1162" s="105" t="s">
        <v>1956</v>
      </c>
      <c r="H1162" s="276">
        <v>12</v>
      </c>
      <c r="I1162" s="275">
        <v>71036359</v>
      </c>
      <c r="J1162" s="106"/>
      <c r="K1162" s="107"/>
      <c r="L1162" s="149"/>
    </row>
    <row r="1163" spans="1:12" x14ac:dyDescent="0.25">
      <c r="A1163" s="476"/>
      <c r="B1163" s="275" t="s">
        <v>504</v>
      </c>
      <c r="C1163" s="276" t="s">
        <v>1954</v>
      </c>
      <c r="D1163" s="276">
        <v>12</v>
      </c>
      <c r="E1163" s="275">
        <v>70545817</v>
      </c>
      <c r="F1163" s="275"/>
      <c r="G1163" s="105" t="s">
        <v>1956</v>
      </c>
      <c r="H1163" s="276">
        <v>12</v>
      </c>
      <c r="I1163" s="275">
        <v>71226469</v>
      </c>
      <c r="J1163" s="106"/>
      <c r="K1163" s="107"/>
      <c r="L1163" s="149"/>
    </row>
    <row r="1164" spans="1:12" x14ac:dyDescent="0.25">
      <c r="A1164" s="476"/>
      <c r="B1164" s="275" t="s">
        <v>504</v>
      </c>
      <c r="C1164" s="276" t="s">
        <v>1964</v>
      </c>
      <c r="D1164" s="276">
        <v>12</v>
      </c>
      <c r="E1164" s="275">
        <v>70607526</v>
      </c>
      <c r="F1164" s="275"/>
      <c r="G1164" s="105" t="s">
        <v>1956</v>
      </c>
      <c r="H1164" s="276">
        <v>12</v>
      </c>
      <c r="I1164" s="275">
        <v>128096328</v>
      </c>
      <c r="J1164" s="106"/>
      <c r="K1164" s="107"/>
      <c r="L1164" s="149"/>
    </row>
    <row r="1165" spans="1:12" x14ac:dyDescent="0.25">
      <c r="A1165" s="476"/>
      <c r="B1165" s="275" t="s">
        <v>504</v>
      </c>
      <c r="C1165" s="276" t="s">
        <v>1964</v>
      </c>
      <c r="D1165" s="276">
        <v>12</v>
      </c>
      <c r="E1165" s="275">
        <v>70619076</v>
      </c>
      <c r="F1165" s="275"/>
      <c r="G1165" s="105" t="s">
        <v>1956</v>
      </c>
      <c r="H1165" s="276">
        <v>12</v>
      </c>
      <c r="I1165" s="275">
        <v>128155135</v>
      </c>
      <c r="J1165" s="106"/>
      <c r="K1165" s="107"/>
      <c r="L1165" s="149"/>
    </row>
    <row r="1166" spans="1:12" x14ac:dyDescent="0.25">
      <c r="A1166" s="476"/>
      <c r="B1166" s="275" t="s">
        <v>504</v>
      </c>
      <c r="C1166" s="276" t="s">
        <v>1964</v>
      </c>
      <c r="D1166" s="276">
        <v>12</v>
      </c>
      <c r="E1166" s="275">
        <v>70633270</v>
      </c>
      <c r="F1166" s="275"/>
      <c r="G1166" s="105" t="s">
        <v>1956</v>
      </c>
      <c r="H1166" s="276">
        <v>12</v>
      </c>
      <c r="I1166" s="275">
        <v>128673610</v>
      </c>
      <c r="J1166" s="106"/>
      <c r="K1166" s="107"/>
      <c r="L1166" s="149"/>
    </row>
    <row r="1167" spans="1:12" x14ac:dyDescent="0.25">
      <c r="A1167" s="476"/>
      <c r="B1167" s="275" t="s">
        <v>504</v>
      </c>
      <c r="C1167" s="276" t="s">
        <v>1964</v>
      </c>
      <c r="D1167" s="276">
        <v>12</v>
      </c>
      <c r="E1167" s="275">
        <v>70650194</v>
      </c>
      <c r="F1167" s="275"/>
      <c r="G1167" s="105" t="s">
        <v>1956</v>
      </c>
      <c r="H1167" s="276">
        <v>12</v>
      </c>
      <c r="I1167" s="275">
        <v>128629417</v>
      </c>
      <c r="J1167" s="106"/>
      <c r="K1167" s="107"/>
      <c r="L1167" s="149"/>
    </row>
    <row r="1168" spans="1:12" x14ac:dyDescent="0.25">
      <c r="A1168" s="476"/>
      <c r="B1168" s="275" t="s">
        <v>504</v>
      </c>
      <c r="C1168" s="276" t="s">
        <v>1964</v>
      </c>
      <c r="D1168" s="276">
        <v>12</v>
      </c>
      <c r="E1168" s="275">
        <v>70829174</v>
      </c>
      <c r="F1168" s="275"/>
      <c r="G1168" s="105" t="s">
        <v>1956</v>
      </c>
      <c r="H1168" s="276">
        <v>12</v>
      </c>
      <c r="I1168" s="275">
        <v>128677932</v>
      </c>
      <c r="J1168" s="106"/>
      <c r="K1168" s="107"/>
      <c r="L1168" s="149"/>
    </row>
    <row r="1169" spans="1:12" x14ac:dyDescent="0.25">
      <c r="A1169" s="476"/>
      <c r="B1169" s="275" t="s">
        <v>504</v>
      </c>
      <c r="C1169" s="276" t="s">
        <v>1964</v>
      </c>
      <c r="D1169" s="276">
        <v>12</v>
      </c>
      <c r="E1169" s="275">
        <v>70921141</v>
      </c>
      <c r="F1169" s="275"/>
      <c r="G1169" s="105" t="s">
        <v>1956</v>
      </c>
      <c r="H1169" s="276">
        <v>12</v>
      </c>
      <c r="I1169" s="275">
        <v>128012597</v>
      </c>
      <c r="J1169" s="106"/>
      <c r="K1169" s="107"/>
      <c r="L1169" s="149"/>
    </row>
    <row r="1170" spans="1:12" x14ac:dyDescent="0.25">
      <c r="A1170" s="476"/>
      <c r="B1170" s="275" t="s">
        <v>504</v>
      </c>
      <c r="C1170" s="276" t="s">
        <v>1964</v>
      </c>
      <c r="D1170" s="276">
        <v>12</v>
      </c>
      <c r="E1170" s="275">
        <v>70925886</v>
      </c>
      <c r="F1170" s="275"/>
      <c r="G1170" s="105" t="s">
        <v>1956</v>
      </c>
      <c r="H1170" s="276">
        <v>12</v>
      </c>
      <c r="I1170" s="275">
        <v>128041234</v>
      </c>
      <c r="J1170" s="106"/>
      <c r="K1170" s="107"/>
      <c r="L1170" s="149"/>
    </row>
    <row r="1171" spans="1:12" x14ac:dyDescent="0.25">
      <c r="A1171" s="476"/>
      <c r="B1171" s="275" t="s">
        <v>504</v>
      </c>
      <c r="C1171" s="276" t="s">
        <v>1960</v>
      </c>
      <c r="D1171" s="276">
        <v>12</v>
      </c>
      <c r="E1171" s="275">
        <v>70933397</v>
      </c>
      <c r="F1171" s="275"/>
      <c r="G1171" s="105" t="s">
        <v>1956</v>
      </c>
      <c r="H1171" s="276">
        <v>12</v>
      </c>
      <c r="I1171" s="275">
        <v>128144814</v>
      </c>
      <c r="J1171" s="106"/>
      <c r="K1171" s="107"/>
      <c r="L1171" s="149"/>
    </row>
    <row r="1172" spans="1:12" x14ac:dyDescent="0.25">
      <c r="A1172" s="476"/>
      <c r="B1172" s="275" t="s">
        <v>504</v>
      </c>
      <c r="C1172" s="276" t="s">
        <v>1960</v>
      </c>
      <c r="D1172" s="276">
        <v>12</v>
      </c>
      <c r="E1172" s="275">
        <v>70942265</v>
      </c>
      <c r="F1172" s="275"/>
      <c r="G1172" s="105" t="s">
        <v>1956</v>
      </c>
      <c r="H1172" s="276">
        <v>12</v>
      </c>
      <c r="I1172" s="275">
        <v>128598918</v>
      </c>
      <c r="J1172" s="106"/>
      <c r="K1172" s="107"/>
      <c r="L1172" s="149"/>
    </row>
    <row r="1173" spans="1:12" x14ac:dyDescent="0.25">
      <c r="A1173" s="476"/>
      <c r="B1173" s="275" t="s">
        <v>504</v>
      </c>
      <c r="C1173" s="276" t="s">
        <v>1964</v>
      </c>
      <c r="D1173" s="276">
        <v>12</v>
      </c>
      <c r="E1173" s="275">
        <v>70944172</v>
      </c>
      <c r="F1173" s="275"/>
      <c r="G1173" s="105" t="s">
        <v>1956</v>
      </c>
      <c r="H1173" s="276">
        <v>12</v>
      </c>
      <c r="I1173" s="275">
        <v>128298409</v>
      </c>
      <c r="J1173" s="106"/>
      <c r="K1173" s="107"/>
      <c r="L1173" s="149"/>
    </row>
    <row r="1174" spans="1:12" x14ac:dyDescent="0.25">
      <c r="A1174" s="476"/>
      <c r="B1174" s="275" t="s">
        <v>504</v>
      </c>
      <c r="C1174" s="276" t="s">
        <v>1960</v>
      </c>
      <c r="D1174" s="276">
        <v>12</v>
      </c>
      <c r="E1174" s="275">
        <v>70952307</v>
      </c>
      <c r="F1174" s="275"/>
      <c r="G1174" s="105" t="s">
        <v>1956</v>
      </c>
      <c r="H1174" s="276">
        <v>12</v>
      </c>
      <c r="I1174" s="275">
        <v>128170002</v>
      </c>
      <c r="J1174" s="106"/>
      <c r="K1174" s="107"/>
      <c r="L1174" s="149"/>
    </row>
    <row r="1175" spans="1:12" x14ac:dyDescent="0.25">
      <c r="A1175" s="476"/>
      <c r="B1175" s="275" t="s">
        <v>504</v>
      </c>
      <c r="C1175" s="276" t="s">
        <v>1964</v>
      </c>
      <c r="D1175" s="276">
        <v>12</v>
      </c>
      <c r="E1175" s="275">
        <v>71017027</v>
      </c>
      <c r="F1175" s="275"/>
      <c r="G1175" s="105" t="s">
        <v>1956</v>
      </c>
      <c r="H1175" s="276">
        <v>12</v>
      </c>
      <c r="I1175" s="275">
        <v>128025858</v>
      </c>
      <c r="J1175" s="106"/>
      <c r="K1175" s="107"/>
      <c r="L1175" s="149"/>
    </row>
    <row r="1176" spans="1:12" x14ac:dyDescent="0.25">
      <c r="A1176" s="476"/>
      <c r="B1176" s="275" t="s">
        <v>504</v>
      </c>
      <c r="C1176" s="276" t="s">
        <v>1960</v>
      </c>
      <c r="D1176" s="276">
        <v>12</v>
      </c>
      <c r="E1176" s="275">
        <v>71030905</v>
      </c>
      <c r="F1176" s="275"/>
      <c r="G1176" s="105" t="s">
        <v>1956</v>
      </c>
      <c r="H1176" s="276">
        <v>12</v>
      </c>
      <c r="I1176" s="275">
        <v>128690955</v>
      </c>
      <c r="J1176" s="106"/>
      <c r="K1176" s="107"/>
      <c r="L1176" s="149"/>
    </row>
    <row r="1177" spans="1:12" x14ac:dyDescent="0.25">
      <c r="A1177" s="476"/>
      <c r="B1177" s="275" t="s">
        <v>504</v>
      </c>
      <c r="C1177" s="276" t="s">
        <v>1954</v>
      </c>
      <c r="D1177" s="276">
        <v>12</v>
      </c>
      <c r="E1177" s="275">
        <v>71060457</v>
      </c>
      <c r="F1177" s="275"/>
      <c r="G1177" s="105" t="s">
        <v>1956</v>
      </c>
      <c r="H1177" s="276">
        <v>12</v>
      </c>
      <c r="I1177" s="275">
        <v>128333308</v>
      </c>
      <c r="J1177" s="106"/>
      <c r="K1177" s="107"/>
      <c r="L1177" s="149"/>
    </row>
    <row r="1178" spans="1:12" x14ac:dyDescent="0.25">
      <c r="A1178" s="476"/>
      <c r="B1178" s="275" t="s">
        <v>504</v>
      </c>
      <c r="C1178" s="276" t="s">
        <v>1964</v>
      </c>
      <c r="D1178" s="276">
        <v>12</v>
      </c>
      <c r="E1178" s="275">
        <v>71069631</v>
      </c>
      <c r="F1178" s="275"/>
      <c r="G1178" s="105" t="s">
        <v>1956</v>
      </c>
      <c r="H1178" s="276">
        <v>12</v>
      </c>
      <c r="I1178" s="275">
        <v>128613287</v>
      </c>
      <c r="J1178" s="106"/>
      <c r="K1178" s="107"/>
      <c r="L1178" s="149"/>
    </row>
    <row r="1179" spans="1:12" x14ac:dyDescent="0.25">
      <c r="A1179" s="476"/>
      <c r="B1179" s="275" t="s">
        <v>504</v>
      </c>
      <c r="C1179" s="276" t="s">
        <v>1964</v>
      </c>
      <c r="D1179" s="276">
        <v>12</v>
      </c>
      <c r="E1179" s="275">
        <v>71082631</v>
      </c>
      <c r="F1179" s="275"/>
      <c r="G1179" s="105" t="s">
        <v>1956</v>
      </c>
      <c r="H1179" s="276">
        <v>12</v>
      </c>
      <c r="I1179" s="275">
        <v>128523943</v>
      </c>
      <c r="J1179" s="106"/>
      <c r="K1179" s="107"/>
      <c r="L1179" s="149"/>
    </row>
    <row r="1180" spans="1:12" x14ac:dyDescent="0.25">
      <c r="A1180" s="476"/>
      <c r="B1180" s="275" t="s">
        <v>504</v>
      </c>
      <c r="C1180" s="276" t="s">
        <v>1964</v>
      </c>
      <c r="D1180" s="276">
        <v>12</v>
      </c>
      <c r="E1180" s="275">
        <v>71145598</v>
      </c>
      <c r="F1180" s="275"/>
      <c r="G1180" s="105" t="s">
        <v>1956</v>
      </c>
      <c r="H1180" s="276">
        <v>12</v>
      </c>
      <c r="I1180" s="275">
        <v>128180386</v>
      </c>
      <c r="J1180" s="106"/>
      <c r="K1180" s="107"/>
      <c r="L1180" s="149"/>
    </row>
    <row r="1181" spans="1:12" x14ac:dyDescent="0.25">
      <c r="A1181" s="476"/>
      <c r="B1181" s="275" t="s">
        <v>504</v>
      </c>
      <c r="C1181" s="276" t="s">
        <v>1964</v>
      </c>
      <c r="D1181" s="276">
        <v>12</v>
      </c>
      <c r="E1181" s="275">
        <v>71148211</v>
      </c>
      <c r="F1181" s="275"/>
      <c r="G1181" s="105" t="s">
        <v>1956</v>
      </c>
      <c r="H1181" s="276">
        <v>12</v>
      </c>
      <c r="I1181" s="275">
        <v>128005154</v>
      </c>
      <c r="J1181" s="106"/>
      <c r="K1181" s="107"/>
      <c r="L1181" s="149"/>
    </row>
    <row r="1182" spans="1:12" x14ac:dyDescent="0.25">
      <c r="A1182" s="476"/>
      <c r="B1182" s="275" t="s">
        <v>504</v>
      </c>
      <c r="C1182" s="276" t="s">
        <v>1964</v>
      </c>
      <c r="D1182" s="276">
        <v>12</v>
      </c>
      <c r="E1182" s="275">
        <v>71191382</v>
      </c>
      <c r="F1182" s="275"/>
      <c r="G1182" s="105" t="s">
        <v>1956</v>
      </c>
      <c r="H1182" s="276">
        <v>12</v>
      </c>
      <c r="I1182" s="275">
        <v>128489129</v>
      </c>
      <c r="J1182" s="106"/>
      <c r="K1182" s="107"/>
      <c r="L1182" s="149"/>
    </row>
    <row r="1183" spans="1:12" x14ac:dyDescent="0.25">
      <c r="A1183" s="476"/>
      <c r="B1183" s="275" t="s">
        <v>504</v>
      </c>
      <c r="C1183" s="276" t="s">
        <v>1960</v>
      </c>
      <c r="D1183" s="276">
        <v>12</v>
      </c>
      <c r="E1183" s="275">
        <v>71191961</v>
      </c>
      <c r="F1183" s="275"/>
      <c r="G1183" s="105" t="s">
        <v>1956</v>
      </c>
      <c r="H1183" s="276">
        <v>12</v>
      </c>
      <c r="I1183" s="275">
        <v>128095955</v>
      </c>
      <c r="J1183" s="106"/>
      <c r="K1183" s="107"/>
      <c r="L1183" s="149"/>
    </row>
    <row r="1184" spans="1:12" x14ac:dyDescent="0.25">
      <c r="A1184" s="476"/>
      <c r="B1184" s="275" t="s">
        <v>504</v>
      </c>
      <c r="C1184" s="276" t="s">
        <v>1960</v>
      </c>
      <c r="D1184" s="276">
        <v>12</v>
      </c>
      <c r="E1184" s="275">
        <v>71192684</v>
      </c>
      <c r="F1184" s="275"/>
      <c r="G1184" s="105" t="s">
        <v>1956</v>
      </c>
      <c r="H1184" s="276">
        <v>12</v>
      </c>
      <c r="I1184" s="275">
        <v>128121959</v>
      </c>
      <c r="J1184" s="106"/>
      <c r="K1184" s="107"/>
      <c r="L1184" s="149"/>
    </row>
    <row r="1185" spans="1:12" x14ac:dyDescent="0.25">
      <c r="A1185" s="476"/>
      <c r="B1185" s="275" t="s">
        <v>504</v>
      </c>
      <c r="C1185" s="276" t="s">
        <v>1960</v>
      </c>
      <c r="D1185" s="276">
        <v>12</v>
      </c>
      <c r="E1185" s="275">
        <v>71208721</v>
      </c>
      <c r="F1185" s="275"/>
      <c r="G1185" s="105" t="s">
        <v>1956</v>
      </c>
      <c r="H1185" s="276">
        <v>12</v>
      </c>
      <c r="I1185" s="275">
        <v>128007406</v>
      </c>
      <c r="J1185" s="106"/>
      <c r="K1185" s="107"/>
      <c r="L1185" s="149"/>
    </row>
    <row r="1186" spans="1:12" x14ac:dyDescent="0.25">
      <c r="A1186" s="476"/>
      <c r="B1186" s="275" t="s">
        <v>504</v>
      </c>
      <c r="C1186" s="276" t="s">
        <v>1960</v>
      </c>
      <c r="D1186" s="276">
        <v>12</v>
      </c>
      <c r="E1186" s="275">
        <v>71208774</v>
      </c>
      <c r="F1186" s="275"/>
      <c r="G1186" s="105" t="s">
        <v>1956</v>
      </c>
      <c r="H1186" s="276">
        <v>12</v>
      </c>
      <c r="I1186" s="275">
        <v>128007324</v>
      </c>
      <c r="J1186" s="106"/>
      <c r="K1186" s="107"/>
      <c r="L1186" s="149"/>
    </row>
    <row r="1187" spans="1:12" x14ac:dyDescent="0.25">
      <c r="A1187" s="476"/>
      <c r="B1187" s="275" t="s">
        <v>504</v>
      </c>
      <c r="C1187" s="276" t="s">
        <v>1960</v>
      </c>
      <c r="D1187" s="276">
        <v>12</v>
      </c>
      <c r="E1187" s="275">
        <v>71214207</v>
      </c>
      <c r="F1187" s="275"/>
      <c r="G1187" s="105" t="s">
        <v>1956</v>
      </c>
      <c r="H1187" s="276">
        <v>12</v>
      </c>
      <c r="I1187" s="275">
        <v>128603689</v>
      </c>
      <c r="J1187" s="106"/>
      <c r="K1187" s="107"/>
      <c r="L1187" s="149"/>
    </row>
    <row r="1188" spans="1:12" x14ac:dyDescent="0.25">
      <c r="A1188" s="476"/>
      <c r="B1188" s="275" t="s">
        <v>504</v>
      </c>
      <c r="C1188" s="276" t="s">
        <v>1960</v>
      </c>
      <c r="D1188" s="276">
        <v>12</v>
      </c>
      <c r="E1188" s="275">
        <v>71252216</v>
      </c>
      <c r="F1188" s="275"/>
      <c r="G1188" s="105" t="s">
        <v>1956</v>
      </c>
      <c r="H1188" s="276">
        <v>12</v>
      </c>
      <c r="I1188" s="275">
        <v>128177783</v>
      </c>
      <c r="J1188" s="106"/>
      <c r="K1188" s="107"/>
      <c r="L1188" s="149"/>
    </row>
    <row r="1189" spans="1:12" x14ac:dyDescent="0.25">
      <c r="A1189" s="476"/>
      <c r="B1189" s="275" t="s">
        <v>504</v>
      </c>
      <c r="C1189" s="276" t="s">
        <v>1964</v>
      </c>
      <c r="D1189" s="276">
        <v>12</v>
      </c>
      <c r="E1189" s="275">
        <v>71260105</v>
      </c>
      <c r="F1189" s="275"/>
      <c r="G1189" s="105" t="s">
        <v>1956</v>
      </c>
      <c r="H1189" s="276">
        <v>12</v>
      </c>
      <c r="I1189" s="275">
        <v>128259019</v>
      </c>
      <c r="J1189" s="106"/>
      <c r="K1189" s="107"/>
      <c r="L1189" s="149"/>
    </row>
    <row r="1190" spans="1:12" x14ac:dyDescent="0.25">
      <c r="A1190" s="476"/>
      <c r="B1190" s="275" t="s">
        <v>504</v>
      </c>
      <c r="C1190" s="276" t="s">
        <v>1964</v>
      </c>
      <c r="D1190" s="276">
        <v>12</v>
      </c>
      <c r="E1190" s="275">
        <v>71260106</v>
      </c>
      <c r="F1190" s="275"/>
      <c r="G1190" s="105" t="s">
        <v>1956</v>
      </c>
      <c r="H1190" s="276">
        <v>12</v>
      </c>
      <c r="I1190" s="275">
        <v>128259018</v>
      </c>
      <c r="J1190" s="106"/>
      <c r="K1190" s="107"/>
      <c r="L1190" s="149"/>
    </row>
    <row r="1191" spans="1:12" x14ac:dyDescent="0.25">
      <c r="A1191" s="476"/>
      <c r="B1191" s="275" t="s">
        <v>504</v>
      </c>
      <c r="C1191" s="276" t="s">
        <v>1964</v>
      </c>
      <c r="D1191" s="276">
        <v>12</v>
      </c>
      <c r="E1191" s="275">
        <v>71267415</v>
      </c>
      <c r="F1191" s="275"/>
      <c r="G1191" s="105" t="s">
        <v>1956</v>
      </c>
      <c r="H1191" s="276">
        <v>12</v>
      </c>
      <c r="I1191" s="275">
        <v>128033135</v>
      </c>
      <c r="J1191" s="106"/>
      <c r="K1191" s="107"/>
      <c r="L1191" s="149"/>
    </row>
    <row r="1192" spans="1:12" x14ac:dyDescent="0.25">
      <c r="A1192" s="476"/>
      <c r="B1192" s="275" t="s">
        <v>504</v>
      </c>
      <c r="C1192" s="276" t="s">
        <v>1964</v>
      </c>
      <c r="D1192" s="276">
        <v>12</v>
      </c>
      <c r="E1192" s="275">
        <v>71268346</v>
      </c>
      <c r="F1192" s="275"/>
      <c r="G1192" s="105" t="s">
        <v>1956</v>
      </c>
      <c r="H1192" s="276">
        <v>12</v>
      </c>
      <c r="I1192" s="275">
        <v>128200182</v>
      </c>
      <c r="J1192" s="106"/>
      <c r="K1192" s="107"/>
      <c r="L1192" s="149"/>
    </row>
    <row r="1193" spans="1:12" x14ac:dyDescent="0.25">
      <c r="A1193" s="476"/>
      <c r="B1193" s="275" t="s">
        <v>504</v>
      </c>
      <c r="C1193" s="276" t="s">
        <v>1964</v>
      </c>
      <c r="D1193" s="276">
        <v>12</v>
      </c>
      <c r="E1193" s="275">
        <v>71270072</v>
      </c>
      <c r="F1193" s="275"/>
      <c r="G1193" s="105" t="s">
        <v>1956</v>
      </c>
      <c r="H1193" s="276">
        <v>12</v>
      </c>
      <c r="I1193" s="275">
        <v>128292211</v>
      </c>
      <c r="J1193" s="106"/>
      <c r="K1193" s="107"/>
      <c r="L1193" s="149"/>
    </row>
    <row r="1194" spans="1:12" x14ac:dyDescent="0.25">
      <c r="A1194" s="476"/>
      <c r="B1194" s="275" t="s">
        <v>504</v>
      </c>
      <c r="C1194" s="276" t="s">
        <v>1964</v>
      </c>
      <c r="D1194" s="276">
        <v>12</v>
      </c>
      <c r="E1194" s="275">
        <v>71277185</v>
      </c>
      <c r="F1194" s="275"/>
      <c r="G1194" s="105" t="s">
        <v>1956</v>
      </c>
      <c r="H1194" s="276">
        <v>12</v>
      </c>
      <c r="I1194" s="275">
        <v>90309051</v>
      </c>
      <c r="J1194" s="106"/>
      <c r="K1194" s="107"/>
      <c r="L1194" s="149"/>
    </row>
    <row r="1195" spans="1:12" x14ac:dyDescent="0.25">
      <c r="A1195" s="476"/>
      <c r="B1195" s="275" t="s">
        <v>504</v>
      </c>
      <c r="C1195" s="276" t="s">
        <v>1960</v>
      </c>
      <c r="D1195" s="276">
        <v>12</v>
      </c>
      <c r="E1195" s="275">
        <v>127987772</v>
      </c>
      <c r="F1195" s="275"/>
      <c r="G1195" s="105" t="s">
        <v>1956</v>
      </c>
      <c r="H1195" s="276">
        <v>12</v>
      </c>
      <c r="I1195" s="275">
        <v>128637377</v>
      </c>
      <c r="J1195" s="106"/>
      <c r="K1195" s="107"/>
      <c r="L1195" s="149"/>
    </row>
    <row r="1196" spans="1:12" x14ac:dyDescent="0.25">
      <c r="A1196" s="476"/>
      <c r="B1196" s="275" t="s">
        <v>504</v>
      </c>
      <c r="C1196" s="276" t="s">
        <v>1954</v>
      </c>
      <c r="D1196" s="276">
        <v>12</v>
      </c>
      <c r="E1196" s="275">
        <v>128030542</v>
      </c>
      <c r="F1196" s="275"/>
      <c r="G1196" s="105" t="s">
        <v>1956</v>
      </c>
      <c r="H1196" s="276">
        <v>12</v>
      </c>
      <c r="I1196" s="275">
        <v>128766298</v>
      </c>
      <c r="J1196" s="106"/>
      <c r="K1196" s="107"/>
      <c r="L1196" s="149"/>
    </row>
    <row r="1197" spans="1:12" x14ac:dyDescent="0.25">
      <c r="A1197" s="476"/>
      <c r="B1197" s="275" t="s">
        <v>504</v>
      </c>
      <c r="C1197" s="276" t="s">
        <v>1964</v>
      </c>
      <c r="D1197" s="276">
        <v>12</v>
      </c>
      <c r="E1197" s="275">
        <v>128045894</v>
      </c>
      <c r="F1197" s="275"/>
      <c r="G1197" s="105" t="s">
        <v>1956</v>
      </c>
      <c r="H1197" s="276">
        <v>12</v>
      </c>
      <c r="I1197" s="275">
        <v>128515084</v>
      </c>
      <c r="J1197" s="106"/>
      <c r="K1197" s="107"/>
      <c r="L1197" s="149"/>
    </row>
    <row r="1198" spans="1:12" x14ac:dyDescent="0.25">
      <c r="A1198" s="476"/>
      <c r="B1198" s="275" t="s">
        <v>504</v>
      </c>
      <c r="C1198" s="276" t="s">
        <v>1964</v>
      </c>
      <c r="D1198" s="276">
        <v>12</v>
      </c>
      <c r="E1198" s="275">
        <v>128047022</v>
      </c>
      <c r="F1198" s="275"/>
      <c r="G1198" s="105" t="s">
        <v>1956</v>
      </c>
      <c r="H1198" s="276">
        <v>12</v>
      </c>
      <c r="I1198" s="275">
        <v>128171386</v>
      </c>
      <c r="J1198" s="106"/>
      <c r="K1198" s="107"/>
      <c r="L1198" s="149"/>
    </row>
    <row r="1199" spans="1:12" x14ac:dyDescent="0.25">
      <c r="A1199" s="476"/>
      <c r="B1199" s="275" t="s">
        <v>504</v>
      </c>
      <c r="C1199" s="276" t="s">
        <v>1954</v>
      </c>
      <c r="D1199" s="276">
        <v>12</v>
      </c>
      <c r="E1199" s="275">
        <v>128049078</v>
      </c>
      <c r="F1199" s="275"/>
      <c r="G1199" s="105" t="s">
        <v>1956</v>
      </c>
      <c r="H1199" s="276">
        <v>12</v>
      </c>
      <c r="I1199" s="275">
        <v>128297276</v>
      </c>
      <c r="J1199" s="106"/>
      <c r="K1199" s="107"/>
      <c r="L1199" s="149"/>
    </row>
    <row r="1200" spans="1:12" x14ac:dyDescent="0.25">
      <c r="A1200" s="476"/>
      <c r="B1200" s="275" t="s">
        <v>504</v>
      </c>
      <c r="C1200" s="276" t="s">
        <v>1954</v>
      </c>
      <c r="D1200" s="276">
        <v>12</v>
      </c>
      <c r="E1200" s="275">
        <v>128101007</v>
      </c>
      <c r="F1200" s="275"/>
      <c r="G1200" s="105" t="s">
        <v>1956</v>
      </c>
      <c r="H1200" s="276">
        <v>12</v>
      </c>
      <c r="I1200" s="275">
        <v>128617526</v>
      </c>
      <c r="J1200" s="106"/>
      <c r="K1200" s="107"/>
      <c r="L1200" s="149"/>
    </row>
    <row r="1201" spans="1:12" x14ac:dyDescent="0.25">
      <c r="A1201" s="476"/>
      <c r="B1201" s="275" t="s">
        <v>504</v>
      </c>
      <c r="C1201" s="276" t="s">
        <v>1954</v>
      </c>
      <c r="D1201" s="276">
        <v>12</v>
      </c>
      <c r="E1201" s="275">
        <v>128101017</v>
      </c>
      <c r="F1201" s="275"/>
      <c r="G1201" s="105" t="s">
        <v>1956</v>
      </c>
      <c r="H1201" s="276">
        <v>12</v>
      </c>
      <c r="I1201" s="275">
        <v>128617508</v>
      </c>
      <c r="J1201" s="106"/>
      <c r="K1201" s="107"/>
      <c r="L1201" s="149"/>
    </row>
    <row r="1202" spans="1:12" x14ac:dyDescent="0.25">
      <c r="A1202" s="476"/>
      <c r="B1202" s="275" t="s">
        <v>504</v>
      </c>
      <c r="C1202" s="276" t="s">
        <v>1960</v>
      </c>
      <c r="D1202" s="276">
        <v>12</v>
      </c>
      <c r="E1202" s="275">
        <v>128103290</v>
      </c>
      <c r="F1202" s="275"/>
      <c r="G1202" s="105" t="s">
        <v>1956</v>
      </c>
      <c r="H1202" s="276">
        <v>12</v>
      </c>
      <c r="I1202" s="275">
        <v>128628177</v>
      </c>
      <c r="J1202" s="106"/>
      <c r="K1202" s="107"/>
      <c r="L1202" s="149"/>
    </row>
    <row r="1203" spans="1:12" x14ac:dyDescent="0.25">
      <c r="A1203" s="476"/>
      <c r="B1203" s="275" t="s">
        <v>504</v>
      </c>
      <c r="C1203" s="276" t="s">
        <v>1960</v>
      </c>
      <c r="D1203" s="276">
        <v>12</v>
      </c>
      <c r="E1203" s="275">
        <v>128196998</v>
      </c>
      <c r="F1203" s="275"/>
      <c r="G1203" s="105" t="s">
        <v>1956</v>
      </c>
      <c r="H1203" s="276">
        <v>12</v>
      </c>
      <c r="I1203" s="275">
        <v>128552075</v>
      </c>
      <c r="J1203" s="106"/>
      <c r="K1203" s="107"/>
      <c r="L1203" s="149"/>
    </row>
    <row r="1204" spans="1:12" x14ac:dyDescent="0.25">
      <c r="A1204" s="476"/>
      <c r="B1204" s="275" t="s">
        <v>504</v>
      </c>
      <c r="C1204" s="276" t="s">
        <v>1960</v>
      </c>
      <c r="D1204" s="276">
        <v>12</v>
      </c>
      <c r="E1204" s="275">
        <v>128248200</v>
      </c>
      <c r="F1204" s="275"/>
      <c r="G1204" s="105" t="s">
        <v>1956</v>
      </c>
      <c r="H1204" s="276">
        <v>12</v>
      </c>
      <c r="I1204" s="275">
        <v>128685988</v>
      </c>
      <c r="J1204" s="106"/>
      <c r="K1204" s="107"/>
      <c r="L1204" s="149"/>
    </row>
    <row r="1205" spans="1:12" x14ac:dyDescent="0.25">
      <c r="A1205" s="476"/>
      <c r="B1205" s="275" t="s">
        <v>504</v>
      </c>
      <c r="C1205" s="276" t="s">
        <v>1964</v>
      </c>
      <c r="D1205" s="276">
        <v>12</v>
      </c>
      <c r="E1205" s="275">
        <v>128250063</v>
      </c>
      <c r="F1205" s="275"/>
      <c r="G1205" s="105" t="s">
        <v>1956</v>
      </c>
      <c r="H1205" s="276">
        <v>12</v>
      </c>
      <c r="I1205" s="275">
        <v>128459267</v>
      </c>
      <c r="J1205" s="106"/>
      <c r="K1205" s="107"/>
      <c r="L1205" s="149"/>
    </row>
    <row r="1206" spans="1:12" x14ac:dyDescent="0.25">
      <c r="A1206" s="476"/>
      <c r="B1206" s="275" t="s">
        <v>504</v>
      </c>
      <c r="C1206" s="276" t="s">
        <v>1964</v>
      </c>
      <c r="D1206" s="276">
        <v>12</v>
      </c>
      <c r="E1206" s="275">
        <v>128254693</v>
      </c>
      <c r="F1206" s="275"/>
      <c r="G1206" s="105" t="s">
        <v>1956</v>
      </c>
      <c r="H1206" s="276">
        <v>12</v>
      </c>
      <c r="I1206" s="275">
        <v>128395619</v>
      </c>
      <c r="J1206" s="106"/>
      <c r="K1206" s="107"/>
      <c r="L1206" s="149"/>
    </row>
    <row r="1207" spans="1:12" x14ac:dyDescent="0.25">
      <c r="A1207" s="476"/>
      <c r="B1207" s="275" t="s">
        <v>504</v>
      </c>
      <c r="C1207" s="276" t="s">
        <v>1964</v>
      </c>
      <c r="D1207" s="276">
        <v>12</v>
      </c>
      <c r="E1207" s="275">
        <v>128261988</v>
      </c>
      <c r="F1207" s="275"/>
      <c r="G1207" s="105" t="s">
        <v>1956</v>
      </c>
      <c r="H1207" s="276">
        <v>12</v>
      </c>
      <c r="I1207" s="275">
        <v>128468349</v>
      </c>
      <c r="J1207" s="106"/>
      <c r="K1207" s="107"/>
      <c r="L1207" s="149"/>
    </row>
    <row r="1208" spans="1:12" x14ac:dyDescent="0.25">
      <c r="A1208" s="476"/>
      <c r="B1208" s="275" t="s">
        <v>504</v>
      </c>
      <c r="C1208" s="276" t="s">
        <v>1964</v>
      </c>
      <c r="D1208" s="276">
        <v>12</v>
      </c>
      <c r="E1208" s="275">
        <v>128263028</v>
      </c>
      <c r="F1208" s="275"/>
      <c r="G1208" s="105" t="s">
        <v>1956</v>
      </c>
      <c r="H1208" s="276">
        <v>12</v>
      </c>
      <c r="I1208" s="275">
        <v>128320670</v>
      </c>
      <c r="J1208" s="106"/>
      <c r="K1208" s="107"/>
      <c r="L1208" s="149"/>
    </row>
    <row r="1209" spans="1:12" x14ac:dyDescent="0.25">
      <c r="A1209" s="476"/>
      <c r="B1209" s="275" t="s">
        <v>504</v>
      </c>
      <c r="C1209" s="276" t="s">
        <v>1964</v>
      </c>
      <c r="D1209" s="276">
        <v>12</v>
      </c>
      <c r="E1209" s="275">
        <v>128266257</v>
      </c>
      <c r="F1209" s="275"/>
      <c r="G1209" s="105" t="s">
        <v>1956</v>
      </c>
      <c r="H1209" s="276">
        <v>12</v>
      </c>
      <c r="I1209" s="275">
        <v>128345558</v>
      </c>
      <c r="J1209" s="106"/>
      <c r="K1209" s="107"/>
      <c r="L1209" s="149"/>
    </row>
    <row r="1210" spans="1:12" x14ac:dyDescent="0.25">
      <c r="A1210" s="476"/>
      <c r="B1210" s="275" t="s">
        <v>504</v>
      </c>
      <c r="C1210" s="276" t="s">
        <v>1964</v>
      </c>
      <c r="D1210" s="276">
        <v>12</v>
      </c>
      <c r="E1210" s="275">
        <v>128310728</v>
      </c>
      <c r="F1210" s="275"/>
      <c r="G1210" s="105" t="s">
        <v>1956</v>
      </c>
      <c r="H1210" s="276">
        <v>12</v>
      </c>
      <c r="I1210" s="275">
        <v>128528788</v>
      </c>
      <c r="J1210" s="106"/>
      <c r="K1210" s="107"/>
      <c r="L1210" s="149"/>
    </row>
    <row r="1211" spans="1:12" x14ac:dyDescent="0.25">
      <c r="A1211" s="476"/>
      <c r="B1211" s="275" t="s">
        <v>504</v>
      </c>
      <c r="C1211" s="276" t="s">
        <v>1954</v>
      </c>
      <c r="D1211" s="276">
        <v>12</v>
      </c>
      <c r="E1211" s="275">
        <v>128320423</v>
      </c>
      <c r="F1211" s="275"/>
      <c r="G1211" s="105" t="s">
        <v>1956</v>
      </c>
      <c r="H1211" s="276">
        <v>12</v>
      </c>
      <c r="I1211" s="275">
        <v>128748654</v>
      </c>
      <c r="J1211" s="106"/>
      <c r="K1211" s="107"/>
      <c r="L1211" s="149"/>
    </row>
    <row r="1212" spans="1:12" x14ac:dyDescent="0.25">
      <c r="A1212" s="476"/>
      <c r="B1212" s="275" t="s">
        <v>504</v>
      </c>
      <c r="C1212" s="276" t="s">
        <v>1960</v>
      </c>
      <c r="D1212" s="276">
        <v>12</v>
      </c>
      <c r="E1212" s="275">
        <v>128359860</v>
      </c>
      <c r="F1212" s="275"/>
      <c r="G1212" s="105" t="s">
        <v>1956</v>
      </c>
      <c r="H1212" s="276">
        <v>12</v>
      </c>
      <c r="I1212" s="275">
        <v>128602557</v>
      </c>
      <c r="J1212" s="106"/>
      <c r="K1212" s="107"/>
      <c r="L1212" s="149"/>
    </row>
    <row r="1213" spans="1:12" x14ac:dyDescent="0.25">
      <c r="A1213" s="476"/>
      <c r="B1213" s="275" t="s">
        <v>504</v>
      </c>
      <c r="C1213" s="276" t="s">
        <v>1954</v>
      </c>
      <c r="D1213" s="276">
        <v>12</v>
      </c>
      <c r="E1213" s="275">
        <v>128373963</v>
      </c>
      <c r="F1213" s="275"/>
      <c r="G1213" s="105" t="s">
        <v>1956</v>
      </c>
      <c r="H1213" s="276">
        <v>12</v>
      </c>
      <c r="I1213" s="275">
        <v>128522999</v>
      </c>
      <c r="J1213" s="106"/>
      <c r="K1213" s="107"/>
      <c r="L1213" s="149"/>
    </row>
    <row r="1214" spans="1:12" x14ac:dyDescent="0.25">
      <c r="A1214" s="476"/>
      <c r="B1214" s="275" t="s">
        <v>504</v>
      </c>
      <c r="C1214" s="276" t="s">
        <v>1964</v>
      </c>
      <c r="D1214" s="276">
        <v>12</v>
      </c>
      <c r="E1214" s="275">
        <v>128380460</v>
      </c>
      <c r="F1214" s="275"/>
      <c r="G1214" s="105" t="s">
        <v>1956</v>
      </c>
      <c r="H1214" s="276">
        <v>12</v>
      </c>
      <c r="I1214" s="275">
        <v>128630571</v>
      </c>
      <c r="J1214" s="106"/>
      <c r="K1214" s="107"/>
      <c r="L1214" s="149"/>
    </row>
    <row r="1215" spans="1:12" x14ac:dyDescent="0.25">
      <c r="A1215" s="476"/>
      <c r="B1215" s="275" t="s">
        <v>504</v>
      </c>
      <c r="C1215" s="276" t="s">
        <v>1964</v>
      </c>
      <c r="D1215" s="276">
        <v>12</v>
      </c>
      <c r="E1215" s="275">
        <v>128444857</v>
      </c>
      <c r="F1215" s="275"/>
      <c r="G1215" s="105" t="s">
        <v>1956</v>
      </c>
      <c r="H1215" s="276">
        <v>12</v>
      </c>
      <c r="I1215" s="275">
        <v>128543971</v>
      </c>
      <c r="J1215" s="106"/>
      <c r="K1215" s="107"/>
      <c r="L1215" s="149"/>
    </row>
    <row r="1216" spans="1:12" x14ac:dyDescent="0.25">
      <c r="A1216" s="476"/>
      <c r="B1216" s="275" t="s">
        <v>504</v>
      </c>
      <c r="C1216" s="276" t="s">
        <v>1964</v>
      </c>
      <c r="D1216" s="276">
        <v>12</v>
      </c>
      <c r="E1216" s="275">
        <v>128454232</v>
      </c>
      <c r="F1216" s="275"/>
      <c r="G1216" s="105" t="s">
        <v>1956</v>
      </c>
      <c r="H1216" s="276">
        <v>12</v>
      </c>
      <c r="I1216" s="275">
        <v>128774143</v>
      </c>
      <c r="J1216" s="106"/>
      <c r="K1216" s="107"/>
      <c r="L1216" s="149"/>
    </row>
    <row r="1217" spans="1:12" x14ac:dyDescent="0.25">
      <c r="A1217" s="476"/>
      <c r="B1217" s="275" t="s">
        <v>504</v>
      </c>
      <c r="C1217" s="276" t="s">
        <v>1964</v>
      </c>
      <c r="D1217" s="276">
        <v>12</v>
      </c>
      <c r="E1217" s="275">
        <v>128468434</v>
      </c>
      <c r="F1217" s="275"/>
      <c r="G1217" s="105" t="s">
        <v>1956</v>
      </c>
      <c r="H1217" s="276">
        <v>12</v>
      </c>
      <c r="I1217" s="275">
        <v>128773852</v>
      </c>
      <c r="J1217" s="106"/>
      <c r="K1217" s="107"/>
      <c r="L1217" s="149"/>
    </row>
    <row r="1218" spans="1:12" x14ac:dyDescent="0.25">
      <c r="A1218" s="476"/>
      <c r="B1218" s="275" t="s">
        <v>504</v>
      </c>
      <c r="C1218" s="276" t="s">
        <v>1960</v>
      </c>
      <c r="D1218" s="276">
        <v>12</v>
      </c>
      <c r="E1218" s="275">
        <v>128479831</v>
      </c>
      <c r="F1218" s="275"/>
      <c r="G1218" s="105" t="s">
        <v>1956</v>
      </c>
      <c r="H1218" s="276">
        <v>12</v>
      </c>
      <c r="I1218" s="275">
        <v>128530489</v>
      </c>
      <c r="J1218" s="106"/>
      <c r="K1218" s="107"/>
      <c r="L1218" s="149"/>
    </row>
    <row r="1219" spans="1:12" x14ac:dyDescent="0.25">
      <c r="A1219" s="476"/>
      <c r="B1219" s="275" t="s">
        <v>504</v>
      </c>
      <c r="C1219" s="276" t="s">
        <v>1954</v>
      </c>
      <c r="D1219" s="276">
        <v>12</v>
      </c>
      <c r="E1219" s="275">
        <v>128499538</v>
      </c>
      <c r="F1219" s="275"/>
      <c r="G1219" s="105" t="s">
        <v>1956</v>
      </c>
      <c r="H1219" s="276">
        <v>12</v>
      </c>
      <c r="I1219" s="275">
        <v>128568212</v>
      </c>
      <c r="J1219" s="106"/>
      <c r="K1219" s="107"/>
      <c r="L1219" s="149"/>
    </row>
    <row r="1220" spans="1:12" x14ac:dyDescent="0.25">
      <c r="A1220" s="476"/>
      <c r="B1220" s="275" t="s">
        <v>504</v>
      </c>
      <c r="C1220" s="276" t="s">
        <v>1954</v>
      </c>
      <c r="D1220" s="276">
        <v>12</v>
      </c>
      <c r="E1220" s="275">
        <v>128553006</v>
      </c>
      <c r="F1220" s="275"/>
      <c r="G1220" s="105" t="s">
        <v>1956</v>
      </c>
      <c r="H1220" s="276">
        <v>12</v>
      </c>
      <c r="I1220" s="275">
        <v>128684391</v>
      </c>
      <c r="J1220" s="106"/>
      <c r="K1220" s="107"/>
      <c r="L1220" s="149"/>
    </row>
    <row r="1221" spans="1:12" x14ac:dyDescent="0.25">
      <c r="A1221" s="476"/>
      <c r="B1221" s="275" t="s">
        <v>504</v>
      </c>
      <c r="C1221" s="276" t="s">
        <v>1954</v>
      </c>
      <c r="D1221" s="276">
        <v>12</v>
      </c>
      <c r="E1221" s="275">
        <v>128602552</v>
      </c>
      <c r="F1221" s="275"/>
      <c r="G1221" s="105" t="s">
        <v>1956</v>
      </c>
      <c r="H1221" s="276">
        <v>12</v>
      </c>
      <c r="I1221" s="275">
        <v>128649599</v>
      </c>
      <c r="J1221" s="106"/>
      <c r="K1221" s="107"/>
      <c r="L1221" s="149"/>
    </row>
    <row r="1222" spans="1:12" x14ac:dyDescent="0.25">
      <c r="A1222" s="476"/>
      <c r="B1222" s="275" t="s">
        <v>504</v>
      </c>
      <c r="C1222" s="276" t="s">
        <v>1964</v>
      </c>
      <c r="D1222" s="276">
        <v>12</v>
      </c>
      <c r="E1222" s="275">
        <v>128605607</v>
      </c>
      <c r="F1222" s="275"/>
      <c r="G1222" s="105" t="s">
        <v>1956</v>
      </c>
      <c r="H1222" s="276">
        <v>12</v>
      </c>
      <c r="I1222" s="275">
        <v>128634599</v>
      </c>
      <c r="J1222" s="106"/>
      <c r="K1222" s="107"/>
      <c r="L1222" s="149"/>
    </row>
    <row r="1223" spans="1:12" x14ac:dyDescent="0.25">
      <c r="A1223" s="476"/>
      <c r="B1223" s="110" t="s">
        <v>504</v>
      </c>
      <c r="C1223" s="105" t="s">
        <v>1954</v>
      </c>
      <c r="D1223" s="105">
        <v>13</v>
      </c>
      <c r="E1223" s="106">
        <v>88530541</v>
      </c>
      <c r="F1223" s="97" t="s">
        <v>2527</v>
      </c>
      <c r="G1223" s="105" t="s">
        <v>1956</v>
      </c>
      <c r="H1223" s="105">
        <v>13</v>
      </c>
      <c r="I1223" s="106">
        <v>88647301</v>
      </c>
      <c r="J1223" s="97" t="s">
        <v>2527</v>
      </c>
      <c r="K1223" s="208"/>
    </row>
    <row r="1224" spans="1:12" x14ac:dyDescent="0.25">
      <c r="A1224" s="476"/>
      <c r="B1224" s="110" t="s">
        <v>504</v>
      </c>
      <c r="C1224" s="105" t="s">
        <v>1954</v>
      </c>
      <c r="D1224" s="105">
        <v>16</v>
      </c>
      <c r="E1224" s="106">
        <v>3046549</v>
      </c>
      <c r="F1224" s="97" t="s">
        <v>2528</v>
      </c>
      <c r="G1224" s="105" t="s">
        <v>1956</v>
      </c>
      <c r="H1224" s="105">
        <v>16</v>
      </c>
      <c r="I1224" s="106">
        <v>3518157</v>
      </c>
      <c r="J1224" s="110" t="s">
        <v>2529</v>
      </c>
      <c r="K1224" s="208" t="s">
        <v>2530</v>
      </c>
    </row>
    <row r="1225" spans="1:12" x14ac:dyDescent="0.25">
      <c r="A1225" s="476"/>
      <c r="B1225" s="110" t="s">
        <v>504</v>
      </c>
      <c r="C1225" s="105" t="s">
        <v>1975</v>
      </c>
      <c r="D1225" s="105">
        <v>16</v>
      </c>
      <c r="E1225" s="106">
        <v>58558053</v>
      </c>
      <c r="F1225" s="97" t="s">
        <v>2531</v>
      </c>
      <c r="G1225" s="105" t="s">
        <v>1956</v>
      </c>
      <c r="H1225" s="105">
        <v>19</v>
      </c>
      <c r="I1225" s="106">
        <v>29205043</v>
      </c>
      <c r="J1225" s="110" t="s">
        <v>2532</v>
      </c>
      <c r="K1225" s="208" t="s">
        <v>2533</v>
      </c>
    </row>
    <row r="1226" spans="1:12" x14ac:dyDescent="0.25">
      <c r="A1226" s="476"/>
      <c r="B1226" s="110" t="s">
        <v>504</v>
      </c>
      <c r="C1226" s="105" t="s">
        <v>1975</v>
      </c>
      <c r="D1226" s="105">
        <v>16</v>
      </c>
      <c r="E1226" s="106">
        <v>58709227</v>
      </c>
      <c r="F1226" s="97" t="s">
        <v>2534</v>
      </c>
      <c r="G1226" s="105" t="s">
        <v>1956</v>
      </c>
      <c r="H1226" s="105">
        <v>19</v>
      </c>
      <c r="I1226" s="106">
        <v>28869042</v>
      </c>
      <c r="J1226" s="110" t="s">
        <v>2532</v>
      </c>
      <c r="K1226" s="208" t="s">
        <v>2535</v>
      </c>
    </row>
    <row r="1227" spans="1:12" x14ac:dyDescent="0.25">
      <c r="A1227" s="476"/>
      <c r="B1227" s="110" t="s">
        <v>504</v>
      </c>
      <c r="C1227" s="105" t="s">
        <v>1954</v>
      </c>
      <c r="D1227" s="105">
        <v>18</v>
      </c>
      <c r="E1227" s="106">
        <v>47526086</v>
      </c>
      <c r="F1227" s="97" t="s">
        <v>2536</v>
      </c>
      <c r="G1227" s="105" t="s">
        <v>1956</v>
      </c>
      <c r="H1227" s="105">
        <v>18</v>
      </c>
      <c r="I1227" s="106">
        <v>48122916</v>
      </c>
      <c r="J1227" s="110" t="s">
        <v>2537</v>
      </c>
      <c r="K1227" s="208" t="s">
        <v>2538</v>
      </c>
    </row>
    <row r="1228" spans="1:12" x14ac:dyDescent="0.25">
      <c r="A1228" s="476"/>
      <c r="B1228" s="110" t="s">
        <v>504</v>
      </c>
      <c r="C1228" s="105" t="s">
        <v>1954</v>
      </c>
      <c r="D1228" s="105" t="s">
        <v>379</v>
      </c>
      <c r="E1228" s="106">
        <v>73889184</v>
      </c>
      <c r="F1228" s="97" t="s">
        <v>2539</v>
      </c>
      <c r="G1228" s="105" t="s">
        <v>1956</v>
      </c>
      <c r="H1228" s="105" t="s">
        <v>379</v>
      </c>
      <c r="I1228" s="106">
        <v>73949144</v>
      </c>
      <c r="J1228" s="97" t="s">
        <v>2539</v>
      </c>
      <c r="K1228" s="208"/>
    </row>
    <row r="1229" spans="1:12" x14ac:dyDescent="0.25">
      <c r="A1229" s="476"/>
      <c r="B1229" s="110" t="s">
        <v>504</v>
      </c>
      <c r="C1229" s="105" t="s">
        <v>1954</v>
      </c>
      <c r="D1229" s="105" t="s">
        <v>379</v>
      </c>
      <c r="E1229" s="106">
        <v>126118773</v>
      </c>
      <c r="F1229" s="97" t="s">
        <v>2362</v>
      </c>
      <c r="G1229" s="105" t="s">
        <v>1956</v>
      </c>
      <c r="H1229" s="105" t="s">
        <v>379</v>
      </c>
      <c r="I1229" s="106">
        <v>126264999</v>
      </c>
      <c r="J1229" s="97" t="s">
        <v>2362</v>
      </c>
      <c r="K1229" s="208"/>
    </row>
    <row r="1230" spans="1:12" x14ac:dyDescent="0.25">
      <c r="A1230" s="476"/>
      <c r="B1230" s="117" t="s">
        <v>153</v>
      </c>
      <c r="C1230" s="112" t="s">
        <v>1954</v>
      </c>
      <c r="D1230" s="112">
        <v>1</v>
      </c>
      <c r="E1230" s="113">
        <v>38615987</v>
      </c>
      <c r="F1230" s="111" t="s">
        <v>2540</v>
      </c>
      <c r="G1230" s="112" t="s">
        <v>1956</v>
      </c>
      <c r="H1230" s="112">
        <v>1</v>
      </c>
      <c r="I1230" s="113">
        <v>38839962</v>
      </c>
      <c r="J1230" s="117" t="s">
        <v>2541</v>
      </c>
      <c r="K1230" s="209"/>
    </row>
    <row r="1231" spans="1:12" x14ac:dyDescent="0.25">
      <c r="A1231" s="476"/>
      <c r="B1231" s="117" t="s">
        <v>153</v>
      </c>
      <c r="C1231" s="112" t="s">
        <v>1954</v>
      </c>
      <c r="D1231" s="112">
        <v>1</v>
      </c>
      <c r="E1231" s="113">
        <v>198868883</v>
      </c>
      <c r="F1231" s="111" t="s">
        <v>2542</v>
      </c>
      <c r="G1231" s="112" t="s">
        <v>1956</v>
      </c>
      <c r="H1231" s="112">
        <v>1</v>
      </c>
      <c r="I1231" s="113">
        <v>198897430</v>
      </c>
      <c r="J1231" s="111" t="s">
        <v>2542</v>
      </c>
      <c r="K1231" s="209" t="s">
        <v>2543</v>
      </c>
    </row>
    <row r="1232" spans="1:12" x14ac:dyDescent="0.25">
      <c r="A1232" s="476"/>
      <c r="B1232" s="117" t="s">
        <v>153</v>
      </c>
      <c r="C1232" s="112" t="s">
        <v>1954</v>
      </c>
      <c r="D1232" s="112">
        <v>2</v>
      </c>
      <c r="E1232" s="113">
        <v>1894009</v>
      </c>
      <c r="F1232" s="111" t="s">
        <v>2544</v>
      </c>
      <c r="G1232" s="112" t="s">
        <v>1956</v>
      </c>
      <c r="H1232" s="112">
        <v>2</v>
      </c>
      <c r="I1232" s="113">
        <v>2005361</v>
      </c>
      <c r="J1232" s="117" t="s">
        <v>2544</v>
      </c>
      <c r="K1232" s="209" t="s">
        <v>2545</v>
      </c>
    </row>
    <row r="1233" spans="1:11" x14ac:dyDescent="0.25">
      <c r="A1233" s="476"/>
      <c r="B1233" s="117" t="s">
        <v>153</v>
      </c>
      <c r="C1233" s="112" t="s">
        <v>1954</v>
      </c>
      <c r="D1233" s="112">
        <v>2</v>
      </c>
      <c r="E1233" s="113">
        <v>16362472</v>
      </c>
      <c r="F1233" s="111" t="s">
        <v>2546</v>
      </c>
      <c r="G1233" s="112" t="s">
        <v>1956</v>
      </c>
      <c r="H1233" s="112">
        <v>2</v>
      </c>
      <c r="I1233" s="113">
        <v>16724477</v>
      </c>
      <c r="J1233" s="111" t="s">
        <v>2546</v>
      </c>
      <c r="K1233" s="209"/>
    </row>
    <row r="1234" spans="1:11" x14ac:dyDescent="0.25">
      <c r="A1234" s="476"/>
      <c r="B1234" s="117" t="s">
        <v>153</v>
      </c>
      <c r="C1234" s="112" t="s">
        <v>1958</v>
      </c>
      <c r="D1234" s="112">
        <v>2</v>
      </c>
      <c r="E1234" s="113">
        <v>181393095</v>
      </c>
      <c r="F1234" s="111" t="s">
        <v>2547</v>
      </c>
      <c r="G1234" s="112" t="s">
        <v>1956</v>
      </c>
      <c r="H1234" s="210" t="s">
        <v>1959</v>
      </c>
      <c r="I1234" s="113"/>
      <c r="J1234" s="111"/>
      <c r="K1234" s="209"/>
    </row>
    <row r="1235" spans="1:11" x14ac:dyDescent="0.25">
      <c r="A1235" s="476"/>
      <c r="B1235" s="117" t="s">
        <v>153</v>
      </c>
      <c r="C1235" s="112" t="s">
        <v>1975</v>
      </c>
      <c r="D1235" s="112">
        <v>3</v>
      </c>
      <c r="E1235" s="113">
        <v>58425980</v>
      </c>
      <c r="F1235" s="111" t="s">
        <v>2548</v>
      </c>
      <c r="G1235" s="112" t="s">
        <v>1956</v>
      </c>
      <c r="H1235" s="112">
        <v>5</v>
      </c>
      <c r="I1235" s="113">
        <v>3020496</v>
      </c>
      <c r="J1235" s="117" t="s">
        <v>2549</v>
      </c>
      <c r="K1235" s="209" t="s">
        <v>2550</v>
      </c>
    </row>
    <row r="1236" spans="1:11" x14ac:dyDescent="0.25">
      <c r="A1236" s="476"/>
      <c r="B1236" s="117" t="s">
        <v>153</v>
      </c>
      <c r="C1236" s="112" t="s">
        <v>1954</v>
      </c>
      <c r="D1236" s="112">
        <v>3</v>
      </c>
      <c r="E1236" s="113">
        <v>115150006</v>
      </c>
      <c r="F1236" s="111" t="s">
        <v>2551</v>
      </c>
      <c r="G1236" s="112" t="s">
        <v>1956</v>
      </c>
      <c r="H1236" s="112">
        <v>3</v>
      </c>
      <c r="I1236" s="113">
        <v>116052713</v>
      </c>
      <c r="J1236" s="117" t="s">
        <v>2552</v>
      </c>
      <c r="K1236" s="209" t="s">
        <v>2553</v>
      </c>
    </row>
    <row r="1237" spans="1:11" x14ac:dyDescent="0.25">
      <c r="A1237" s="476"/>
      <c r="B1237" s="117" t="s">
        <v>153</v>
      </c>
      <c r="C1237" s="112" t="s">
        <v>1960</v>
      </c>
      <c r="D1237" s="112">
        <v>4</v>
      </c>
      <c r="E1237" s="113">
        <v>23064038</v>
      </c>
      <c r="F1237" s="111" t="s">
        <v>2554</v>
      </c>
      <c r="G1237" s="112" t="s">
        <v>1956</v>
      </c>
      <c r="H1237" s="112">
        <v>4</v>
      </c>
      <c r="I1237" s="113">
        <v>23065704</v>
      </c>
      <c r="J1237" s="111" t="s">
        <v>2554</v>
      </c>
      <c r="K1237" s="209"/>
    </row>
    <row r="1238" spans="1:11" x14ac:dyDescent="0.25">
      <c r="A1238" s="476"/>
      <c r="B1238" s="117" t="s">
        <v>153</v>
      </c>
      <c r="C1238" s="112" t="s">
        <v>1964</v>
      </c>
      <c r="D1238" s="112">
        <v>4</v>
      </c>
      <c r="E1238" s="113">
        <v>23065802</v>
      </c>
      <c r="F1238" s="111" t="s">
        <v>2554</v>
      </c>
      <c r="G1238" s="112" t="s">
        <v>1956</v>
      </c>
      <c r="H1238" s="112">
        <v>4</v>
      </c>
      <c r="I1238" s="113">
        <v>23673872</v>
      </c>
      <c r="J1238" s="117" t="s">
        <v>2555</v>
      </c>
      <c r="K1238" s="209"/>
    </row>
    <row r="1239" spans="1:11" x14ac:dyDescent="0.25">
      <c r="A1239" s="476"/>
      <c r="B1239" s="117" t="s">
        <v>153</v>
      </c>
      <c r="C1239" s="112" t="s">
        <v>1954</v>
      </c>
      <c r="D1239" s="112">
        <v>4</v>
      </c>
      <c r="E1239" s="113">
        <v>23065802</v>
      </c>
      <c r="F1239" s="111" t="s">
        <v>2554</v>
      </c>
      <c r="G1239" s="112" t="s">
        <v>1956</v>
      </c>
      <c r="H1239" s="112">
        <v>4</v>
      </c>
      <c r="I1239" s="113">
        <v>23674068</v>
      </c>
      <c r="J1239" s="117" t="s">
        <v>2555</v>
      </c>
      <c r="K1239" s="209"/>
    </row>
    <row r="1240" spans="1:11" x14ac:dyDescent="0.25">
      <c r="A1240" s="476"/>
      <c r="B1240" s="117" t="s">
        <v>153</v>
      </c>
      <c r="C1240" s="112" t="s">
        <v>1964</v>
      </c>
      <c r="D1240" s="112">
        <v>4</v>
      </c>
      <c r="E1240" s="113">
        <v>23065892</v>
      </c>
      <c r="F1240" s="111" t="s">
        <v>2554</v>
      </c>
      <c r="G1240" s="112" t="s">
        <v>1956</v>
      </c>
      <c r="H1240" s="112">
        <v>4</v>
      </c>
      <c r="I1240" s="113">
        <v>23787744</v>
      </c>
      <c r="J1240" s="117" t="s">
        <v>2555</v>
      </c>
      <c r="K1240" s="209"/>
    </row>
    <row r="1241" spans="1:11" x14ac:dyDescent="0.25">
      <c r="A1241" s="476"/>
      <c r="B1241" s="117" t="s">
        <v>153</v>
      </c>
      <c r="C1241" s="112" t="s">
        <v>1964</v>
      </c>
      <c r="D1241" s="112">
        <v>4</v>
      </c>
      <c r="E1241" s="113">
        <v>23065894</v>
      </c>
      <c r="F1241" s="111" t="s">
        <v>2554</v>
      </c>
      <c r="G1241" s="112" t="s">
        <v>1956</v>
      </c>
      <c r="H1241" s="112">
        <v>4</v>
      </c>
      <c r="I1241" s="113">
        <v>23783728</v>
      </c>
      <c r="J1241" s="117" t="s">
        <v>2555</v>
      </c>
      <c r="K1241" s="209"/>
    </row>
    <row r="1242" spans="1:11" x14ac:dyDescent="0.25">
      <c r="A1242" s="476"/>
      <c r="B1242" s="117" t="s">
        <v>153</v>
      </c>
      <c r="C1242" s="112" t="s">
        <v>1960</v>
      </c>
      <c r="D1242" s="112">
        <v>4</v>
      </c>
      <c r="E1242" s="113">
        <v>23065907</v>
      </c>
      <c r="F1242" s="111" t="s">
        <v>2554</v>
      </c>
      <c r="G1242" s="112" t="s">
        <v>1956</v>
      </c>
      <c r="H1242" s="112">
        <v>4</v>
      </c>
      <c r="I1242" s="113">
        <v>23236308</v>
      </c>
      <c r="J1242" s="117" t="s">
        <v>2556</v>
      </c>
      <c r="K1242" s="209" t="s">
        <v>2557</v>
      </c>
    </row>
    <row r="1243" spans="1:11" x14ac:dyDescent="0.25">
      <c r="A1243" s="476"/>
      <c r="B1243" s="117" t="s">
        <v>153</v>
      </c>
      <c r="C1243" s="112" t="s">
        <v>1964</v>
      </c>
      <c r="D1243" s="112">
        <v>4</v>
      </c>
      <c r="E1243" s="113">
        <v>23066118</v>
      </c>
      <c r="F1243" s="111" t="s">
        <v>2554</v>
      </c>
      <c r="G1243" s="112" t="s">
        <v>1956</v>
      </c>
      <c r="H1243" s="112">
        <v>4</v>
      </c>
      <c r="I1243" s="113">
        <v>23807476</v>
      </c>
      <c r="J1243" s="117" t="s">
        <v>2558</v>
      </c>
      <c r="K1243" s="209" t="s">
        <v>2559</v>
      </c>
    </row>
    <row r="1244" spans="1:11" x14ac:dyDescent="0.25">
      <c r="A1244" s="476"/>
      <c r="B1244" s="117" t="s">
        <v>153</v>
      </c>
      <c r="C1244" s="112" t="s">
        <v>1960</v>
      </c>
      <c r="D1244" s="112">
        <v>4</v>
      </c>
      <c r="E1244" s="113">
        <v>23066146</v>
      </c>
      <c r="F1244" s="111" t="s">
        <v>2554</v>
      </c>
      <c r="G1244" s="112" t="s">
        <v>1956</v>
      </c>
      <c r="H1244" s="112">
        <v>4</v>
      </c>
      <c r="I1244" s="113">
        <v>23807174</v>
      </c>
      <c r="J1244" s="117" t="s">
        <v>2558</v>
      </c>
      <c r="K1244" s="209" t="s">
        <v>2559</v>
      </c>
    </row>
    <row r="1245" spans="1:11" x14ac:dyDescent="0.25">
      <c r="A1245" s="476"/>
      <c r="B1245" s="117" t="s">
        <v>153</v>
      </c>
      <c r="C1245" s="112" t="s">
        <v>1964</v>
      </c>
      <c r="D1245" s="112">
        <v>4</v>
      </c>
      <c r="E1245" s="113">
        <v>23066147</v>
      </c>
      <c r="F1245" s="111" t="s">
        <v>2554</v>
      </c>
      <c r="G1245" s="112" t="s">
        <v>1956</v>
      </c>
      <c r="H1245" s="112">
        <v>4</v>
      </c>
      <c r="I1245" s="113">
        <v>23788008</v>
      </c>
      <c r="J1245" s="117" t="s">
        <v>2555</v>
      </c>
      <c r="K1245" s="209"/>
    </row>
    <row r="1246" spans="1:11" x14ac:dyDescent="0.25">
      <c r="A1246" s="476"/>
      <c r="B1246" s="117" t="s">
        <v>153</v>
      </c>
      <c r="C1246" s="112" t="s">
        <v>1960</v>
      </c>
      <c r="D1246" s="112">
        <v>4</v>
      </c>
      <c r="E1246" s="113">
        <v>23066149</v>
      </c>
      <c r="F1246" s="111" t="s">
        <v>2554</v>
      </c>
      <c r="G1246" s="112" t="s">
        <v>1956</v>
      </c>
      <c r="H1246" s="112">
        <v>4</v>
      </c>
      <c r="I1246" s="113">
        <v>23673840</v>
      </c>
      <c r="J1246" s="117" t="s">
        <v>2555</v>
      </c>
      <c r="K1246" s="209"/>
    </row>
    <row r="1247" spans="1:11" x14ac:dyDescent="0.25">
      <c r="A1247" s="476"/>
      <c r="B1247" s="117" t="s">
        <v>153</v>
      </c>
      <c r="C1247" s="112" t="s">
        <v>1964</v>
      </c>
      <c r="D1247" s="112">
        <v>4</v>
      </c>
      <c r="E1247" s="113">
        <v>23203081</v>
      </c>
      <c r="F1247" s="117" t="s">
        <v>2556</v>
      </c>
      <c r="G1247" s="112" t="s">
        <v>1956</v>
      </c>
      <c r="H1247" s="112">
        <v>4</v>
      </c>
      <c r="I1247" s="113">
        <v>23789165</v>
      </c>
      <c r="J1247" s="117" t="s">
        <v>2555</v>
      </c>
      <c r="K1247" s="209" t="s">
        <v>2557</v>
      </c>
    </row>
    <row r="1248" spans="1:11" x14ac:dyDescent="0.25">
      <c r="A1248" s="476"/>
      <c r="B1248" s="117" t="s">
        <v>153</v>
      </c>
      <c r="C1248" s="112" t="s">
        <v>1960</v>
      </c>
      <c r="D1248" s="112">
        <v>4</v>
      </c>
      <c r="E1248" s="113">
        <v>23227897</v>
      </c>
      <c r="F1248" s="117" t="s">
        <v>2556</v>
      </c>
      <c r="G1248" s="112" t="s">
        <v>1956</v>
      </c>
      <c r="H1248" s="112">
        <v>4</v>
      </c>
      <c r="I1248" s="113">
        <v>23602481</v>
      </c>
      <c r="J1248" s="117" t="s">
        <v>2555</v>
      </c>
      <c r="K1248" s="209" t="s">
        <v>2557</v>
      </c>
    </row>
    <row r="1249" spans="1:11" x14ac:dyDescent="0.25">
      <c r="A1249" s="476"/>
      <c r="B1249" s="117" t="s">
        <v>153</v>
      </c>
      <c r="C1249" s="112" t="s">
        <v>1960</v>
      </c>
      <c r="D1249" s="112">
        <v>4</v>
      </c>
      <c r="E1249" s="113">
        <v>23251097</v>
      </c>
      <c r="F1249" s="117" t="s">
        <v>2556</v>
      </c>
      <c r="G1249" s="112" t="s">
        <v>1956</v>
      </c>
      <c r="H1249" s="112">
        <v>4</v>
      </c>
      <c r="I1249" s="113">
        <v>23700207</v>
      </c>
      <c r="J1249" s="117" t="s">
        <v>2555</v>
      </c>
      <c r="K1249" s="209" t="s">
        <v>2557</v>
      </c>
    </row>
    <row r="1250" spans="1:11" x14ac:dyDescent="0.25">
      <c r="A1250" s="476"/>
      <c r="B1250" s="117" t="s">
        <v>153</v>
      </c>
      <c r="C1250" s="112" t="s">
        <v>1964</v>
      </c>
      <c r="D1250" s="112">
        <v>4</v>
      </c>
      <c r="E1250" s="113">
        <v>23596068</v>
      </c>
      <c r="F1250" s="117" t="s">
        <v>2555</v>
      </c>
      <c r="G1250" s="112" t="s">
        <v>1956</v>
      </c>
      <c r="H1250" s="112">
        <v>4</v>
      </c>
      <c r="I1250" s="113">
        <v>23788113</v>
      </c>
      <c r="J1250" s="117" t="s">
        <v>2555</v>
      </c>
      <c r="K1250" s="209"/>
    </row>
    <row r="1251" spans="1:11" x14ac:dyDescent="0.25">
      <c r="A1251" s="476"/>
      <c r="B1251" s="117" t="s">
        <v>153</v>
      </c>
      <c r="C1251" s="112" t="s">
        <v>1960</v>
      </c>
      <c r="D1251" s="112">
        <v>4</v>
      </c>
      <c r="E1251" s="113">
        <v>23596733</v>
      </c>
      <c r="F1251" s="117" t="s">
        <v>2555</v>
      </c>
      <c r="G1251" s="112" t="s">
        <v>1956</v>
      </c>
      <c r="H1251" s="112">
        <v>4</v>
      </c>
      <c r="I1251" s="113">
        <v>23807760</v>
      </c>
      <c r="J1251" s="117" t="s">
        <v>2558</v>
      </c>
      <c r="K1251" s="209" t="s">
        <v>2559</v>
      </c>
    </row>
    <row r="1252" spans="1:11" x14ac:dyDescent="0.25">
      <c r="A1252" s="476"/>
      <c r="B1252" s="117" t="s">
        <v>153</v>
      </c>
      <c r="C1252" s="112" t="s">
        <v>1960</v>
      </c>
      <c r="D1252" s="112">
        <v>4</v>
      </c>
      <c r="E1252" s="113">
        <v>23644833</v>
      </c>
      <c r="F1252" s="117" t="s">
        <v>2555</v>
      </c>
      <c r="G1252" s="112" t="s">
        <v>1956</v>
      </c>
      <c r="H1252" s="112">
        <v>4</v>
      </c>
      <c r="I1252" s="113">
        <v>23807236</v>
      </c>
      <c r="J1252" s="117" t="s">
        <v>2558</v>
      </c>
      <c r="K1252" s="209" t="s">
        <v>2559</v>
      </c>
    </row>
    <row r="1253" spans="1:11" x14ac:dyDescent="0.25">
      <c r="A1253" s="476"/>
      <c r="B1253" s="117" t="s">
        <v>153</v>
      </c>
      <c r="C1253" s="112" t="s">
        <v>1954</v>
      </c>
      <c r="D1253" s="112">
        <v>4</v>
      </c>
      <c r="E1253" s="113">
        <v>23673587</v>
      </c>
      <c r="F1253" s="117" t="s">
        <v>2555</v>
      </c>
      <c r="G1253" s="112" t="s">
        <v>1956</v>
      </c>
      <c r="H1253" s="112">
        <v>4</v>
      </c>
      <c r="I1253" s="113">
        <v>23807740</v>
      </c>
      <c r="J1253" s="117" t="s">
        <v>2558</v>
      </c>
      <c r="K1253" s="209" t="s">
        <v>2559</v>
      </c>
    </row>
    <row r="1254" spans="1:11" x14ac:dyDescent="0.25">
      <c r="A1254" s="476"/>
      <c r="B1254" s="117" t="s">
        <v>153</v>
      </c>
      <c r="C1254" s="112" t="s">
        <v>1964</v>
      </c>
      <c r="D1254" s="112">
        <v>4</v>
      </c>
      <c r="E1254" s="113">
        <v>23788006</v>
      </c>
      <c r="F1254" s="117" t="s">
        <v>2555</v>
      </c>
      <c r="G1254" s="112" t="s">
        <v>1956</v>
      </c>
      <c r="H1254" s="112">
        <v>4</v>
      </c>
      <c r="I1254" s="113">
        <v>23807476</v>
      </c>
      <c r="J1254" s="117" t="s">
        <v>2558</v>
      </c>
      <c r="K1254" s="209" t="s">
        <v>2559</v>
      </c>
    </row>
    <row r="1255" spans="1:11" x14ac:dyDescent="0.25">
      <c r="A1255" s="476"/>
      <c r="B1255" s="117" t="s">
        <v>153</v>
      </c>
      <c r="C1255" s="112" t="s">
        <v>1960</v>
      </c>
      <c r="D1255" s="112">
        <v>4</v>
      </c>
      <c r="E1255" s="113">
        <v>57936429</v>
      </c>
      <c r="F1255" s="111" t="s">
        <v>2560</v>
      </c>
      <c r="G1255" s="112" t="s">
        <v>1956</v>
      </c>
      <c r="H1255" s="112">
        <v>4</v>
      </c>
      <c r="I1255" s="113">
        <v>57937462</v>
      </c>
      <c r="J1255" s="111" t="s">
        <v>2560</v>
      </c>
      <c r="K1255" s="209"/>
    </row>
    <row r="1256" spans="1:11" x14ac:dyDescent="0.25">
      <c r="A1256" s="476"/>
      <c r="B1256" s="117" t="s">
        <v>153</v>
      </c>
      <c r="C1256" s="112" t="s">
        <v>1975</v>
      </c>
      <c r="D1256" s="112">
        <v>5</v>
      </c>
      <c r="E1256" s="113">
        <v>304278</v>
      </c>
      <c r="F1256" s="111" t="s">
        <v>2485</v>
      </c>
      <c r="G1256" s="112" t="s">
        <v>1956</v>
      </c>
      <c r="H1256" s="112">
        <v>12</v>
      </c>
      <c r="I1256" s="113">
        <v>69214592</v>
      </c>
      <c r="J1256" s="117" t="s">
        <v>2491</v>
      </c>
      <c r="K1256" s="209" t="s">
        <v>2492</v>
      </c>
    </row>
    <row r="1257" spans="1:11" x14ac:dyDescent="0.25">
      <c r="A1257" s="476"/>
      <c r="B1257" s="117" t="s">
        <v>153</v>
      </c>
      <c r="C1257" s="112" t="s">
        <v>1954</v>
      </c>
      <c r="D1257" s="112">
        <v>5</v>
      </c>
      <c r="E1257" s="113">
        <v>168179931</v>
      </c>
      <c r="F1257" s="111" t="s">
        <v>2561</v>
      </c>
      <c r="G1257" s="112" t="s">
        <v>1956</v>
      </c>
      <c r="H1257" s="112">
        <v>5</v>
      </c>
      <c r="I1257" s="113">
        <v>168472809</v>
      </c>
      <c r="J1257" s="111" t="s">
        <v>2561</v>
      </c>
      <c r="K1257" s="209" t="s">
        <v>2562</v>
      </c>
    </row>
    <row r="1258" spans="1:11" x14ac:dyDescent="0.25">
      <c r="A1258" s="476"/>
      <c r="B1258" s="117" t="s">
        <v>153</v>
      </c>
      <c r="C1258" s="112" t="s">
        <v>1954</v>
      </c>
      <c r="D1258" s="112">
        <v>6</v>
      </c>
      <c r="E1258" s="113">
        <v>74811020</v>
      </c>
      <c r="F1258" s="111" t="s">
        <v>2563</v>
      </c>
      <c r="G1258" s="112" t="s">
        <v>1956</v>
      </c>
      <c r="H1258" s="112">
        <v>6</v>
      </c>
      <c r="I1258" s="113">
        <v>74930328</v>
      </c>
      <c r="J1258" s="111" t="s">
        <v>2563</v>
      </c>
      <c r="K1258" s="209"/>
    </row>
    <row r="1259" spans="1:11" x14ac:dyDescent="0.25">
      <c r="A1259" s="476"/>
      <c r="B1259" s="117" t="s">
        <v>153</v>
      </c>
      <c r="C1259" s="112" t="s">
        <v>1954</v>
      </c>
      <c r="D1259" s="112">
        <v>6</v>
      </c>
      <c r="E1259" s="113">
        <v>113960791</v>
      </c>
      <c r="F1259" s="111" t="s">
        <v>2564</v>
      </c>
      <c r="G1259" s="112" t="s">
        <v>1956</v>
      </c>
      <c r="H1259" s="112">
        <v>6</v>
      </c>
      <c r="I1259" s="113">
        <v>114130229</v>
      </c>
      <c r="J1259" s="111" t="s">
        <v>2564</v>
      </c>
      <c r="K1259" s="209"/>
    </row>
    <row r="1260" spans="1:11" x14ac:dyDescent="0.25">
      <c r="A1260" s="476"/>
      <c r="B1260" s="117" t="s">
        <v>153</v>
      </c>
      <c r="C1260" s="112" t="s">
        <v>1954</v>
      </c>
      <c r="D1260" s="112">
        <v>7</v>
      </c>
      <c r="E1260" s="113">
        <v>148672468</v>
      </c>
      <c r="F1260" s="111" t="s">
        <v>2565</v>
      </c>
      <c r="G1260" s="112" t="s">
        <v>1956</v>
      </c>
      <c r="H1260" s="112">
        <v>7</v>
      </c>
      <c r="I1260" s="113">
        <v>148704565</v>
      </c>
      <c r="J1260" s="117" t="s">
        <v>2566</v>
      </c>
      <c r="K1260" s="209" t="s">
        <v>2567</v>
      </c>
    </row>
    <row r="1261" spans="1:11" x14ac:dyDescent="0.25">
      <c r="A1261" s="476"/>
      <c r="B1261" s="117" t="s">
        <v>153</v>
      </c>
      <c r="C1261" s="112" t="s">
        <v>1954</v>
      </c>
      <c r="D1261" s="112">
        <v>7</v>
      </c>
      <c r="E1261" s="113">
        <v>155571965</v>
      </c>
      <c r="F1261" s="111" t="s">
        <v>2568</v>
      </c>
      <c r="G1261" s="112" t="s">
        <v>1956</v>
      </c>
      <c r="H1261" s="112">
        <v>7</v>
      </c>
      <c r="I1261" s="113">
        <v>155583012</v>
      </c>
      <c r="J1261" s="117" t="s">
        <v>2569</v>
      </c>
      <c r="K1261" s="209" t="s">
        <v>2570</v>
      </c>
    </row>
    <row r="1262" spans="1:11" x14ac:dyDescent="0.25">
      <c r="A1262" s="476"/>
      <c r="B1262" s="117" t="s">
        <v>153</v>
      </c>
      <c r="C1262" s="112" t="s">
        <v>1954</v>
      </c>
      <c r="D1262" s="112">
        <v>7</v>
      </c>
      <c r="E1262" s="113">
        <v>155573130</v>
      </c>
      <c r="F1262" s="111" t="s">
        <v>2568</v>
      </c>
      <c r="G1262" s="112" t="s">
        <v>1956</v>
      </c>
      <c r="H1262" s="112">
        <v>7</v>
      </c>
      <c r="I1262" s="113">
        <v>155582763</v>
      </c>
      <c r="J1262" s="117" t="s">
        <v>2569</v>
      </c>
      <c r="K1262" s="209" t="s">
        <v>2570</v>
      </c>
    </row>
    <row r="1263" spans="1:11" x14ac:dyDescent="0.25">
      <c r="A1263" s="476"/>
      <c r="B1263" s="117" t="s">
        <v>153</v>
      </c>
      <c r="C1263" s="112" t="s">
        <v>1954</v>
      </c>
      <c r="D1263" s="112">
        <v>8</v>
      </c>
      <c r="E1263" s="113">
        <v>95728141</v>
      </c>
      <c r="F1263" s="111" t="s">
        <v>2571</v>
      </c>
      <c r="G1263" s="112" t="s">
        <v>1956</v>
      </c>
      <c r="H1263" s="112">
        <v>8</v>
      </c>
      <c r="I1263" s="113">
        <v>95756698</v>
      </c>
      <c r="J1263" s="117" t="s">
        <v>2572</v>
      </c>
      <c r="K1263" s="209" t="s">
        <v>2573</v>
      </c>
    </row>
    <row r="1264" spans="1:11" x14ac:dyDescent="0.25">
      <c r="A1264" s="476"/>
      <c r="B1264" s="117" t="s">
        <v>153</v>
      </c>
      <c r="C1264" s="112" t="s">
        <v>1954</v>
      </c>
      <c r="D1264" s="112">
        <v>9</v>
      </c>
      <c r="E1264" s="113">
        <v>12832131</v>
      </c>
      <c r="F1264" s="111" t="s">
        <v>2574</v>
      </c>
      <c r="G1264" s="112" t="s">
        <v>1956</v>
      </c>
      <c r="H1264" s="112">
        <v>9</v>
      </c>
      <c r="I1264" s="113">
        <v>12943686</v>
      </c>
      <c r="J1264" s="111" t="s">
        <v>2574</v>
      </c>
      <c r="K1264" s="209"/>
    </row>
    <row r="1265" spans="1:12" x14ac:dyDescent="0.25">
      <c r="A1265" s="476"/>
      <c r="B1265" s="117" t="s">
        <v>153</v>
      </c>
      <c r="C1265" s="112" t="s">
        <v>2575</v>
      </c>
      <c r="D1265" s="112">
        <v>9</v>
      </c>
      <c r="E1265" s="113">
        <v>38121119</v>
      </c>
      <c r="F1265" s="111" t="s">
        <v>2576</v>
      </c>
      <c r="G1265" s="112" t="s">
        <v>1956</v>
      </c>
      <c r="H1265" s="112">
        <v>9</v>
      </c>
      <c r="I1265" s="113">
        <v>38366211</v>
      </c>
      <c r="J1265" s="111" t="s">
        <v>2576</v>
      </c>
      <c r="K1265" s="209"/>
    </row>
    <row r="1266" spans="1:12" x14ac:dyDescent="0.25">
      <c r="A1266" s="476"/>
      <c r="B1266" s="117" t="s">
        <v>153</v>
      </c>
      <c r="C1266" s="112" t="s">
        <v>1960</v>
      </c>
      <c r="D1266" s="112">
        <v>10</v>
      </c>
      <c r="E1266" s="113">
        <v>11339029</v>
      </c>
      <c r="F1266" s="111" t="s">
        <v>2577</v>
      </c>
      <c r="G1266" s="112" t="s">
        <v>1956</v>
      </c>
      <c r="H1266" s="112">
        <v>10</v>
      </c>
      <c r="I1266" s="113">
        <v>11343456</v>
      </c>
      <c r="J1266" s="111" t="s">
        <v>2577</v>
      </c>
      <c r="K1266" s="209"/>
    </row>
    <row r="1267" spans="1:12" x14ac:dyDescent="0.25">
      <c r="A1267" s="476"/>
      <c r="B1267" s="117" t="s">
        <v>153</v>
      </c>
      <c r="C1267" s="112" t="s">
        <v>1954</v>
      </c>
      <c r="D1267" s="112">
        <v>11</v>
      </c>
      <c r="E1267" s="113">
        <v>66947722</v>
      </c>
      <c r="F1267" s="111" t="s">
        <v>2578</v>
      </c>
      <c r="G1267" s="112" t="s">
        <v>1956</v>
      </c>
      <c r="H1267" s="112">
        <v>11</v>
      </c>
      <c r="I1267" s="113">
        <v>67007038</v>
      </c>
      <c r="J1267" s="111" t="s">
        <v>2578</v>
      </c>
      <c r="K1267" s="209" t="s">
        <v>2579</v>
      </c>
    </row>
    <row r="1268" spans="1:12" x14ac:dyDescent="0.25">
      <c r="A1268" s="476"/>
      <c r="B1268" s="117" t="s">
        <v>153</v>
      </c>
      <c r="C1268" s="112" t="s">
        <v>1975</v>
      </c>
      <c r="D1268" s="112">
        <v>11</v>
      </c>
      <c r="E1268" s="113">
        <v>110207225</v>
      </c>
      <c r="F1268" s="111" t="s">
        <v>2580</v>
      </c>
      <c r="G1268" s="112" t="s">
        <v>1956</v>
      </c>
      <c r="H1268" s="112">
        <v>14</v>
      </c>
      <c r="I1268" s="113">
        <v>26830895</v>
      </c>
      <c r="J1268" s="117" t="s">
        <v>2581</v>
      </c>
      <c r="K1268" s="209"/>
    </row>
    <row r="1269" spans="1:12" x14ac:dyDescent="0.25">
      <c r="A1269" s="476"/>
      <c r="B1269" s="277" t="s">
        <v>153</v>
      </c>
      <c r="C1269" s="278" t="s">
        <v>1954</v>
      </c>
      <c r="D1269" s="278">
        <v>12</v>
      </c>
      <c r="E1269" s="277">
        <v>39059872</v>
      </c>
      <c r="F1269" s="277"/>
      <c r="G1269" s="112" t="s">
        <v>1956</v>
      </c>
      <c r="H1269" s="278">
        <v>12</v>
      </c>
      <c r="I1269" s="277">
        <v>39060495</v>
      </c>
      <c r="J1269" s="113"/>
      <c r="K1269" s="114"/>
      <c r="L1269" s="149"/>
    </row>
    <row r="1270" spans="1:12" x14ac:dyDescent="0.25">
      <c r="A1270" s="476"/>
      <c r="B1270" s="277" t="s">
        <v>153</v>
      </c>
      <c r="C1270" s="278" t="s">
        <v>1960</v>
      </c>
      <c r="D1270" s="278">
        <v>12</v>
      </c>
      <c r="E1270" s="277">
        <v>57966148</v>
      </c>
      <c r="F1270" s="277"/>
      <c r="G1270" s="112" t="s">
        <v>1956</v>
      </c>
      <c r="H1270" s="278">
        <v>12</v>
      </c>
      <c r="I1270" s="277">
        <v>70246625</v>
      </c>
      <c r="J1270" s="113"/>
      <c r="K1270" s="114"/>
      <c r="L1270" s="149"/>
    </row>
    <row r="1271" spans="1:12" x14ac:dyDescent="0.25">
      <c r="A1271" s="476"/>
      <c r="B1271" s="277" t="s">
        <v>153</v>
      </c>
      <c r="C1271" s="278" t="s">
        <v>1964</v>
      </c>
      <c r="D1271" s="278">
        <v>12</v>
      </c>
      <c r="E1271" s="277">
        <v>57970805</v>
      </c>
      <c r="F1271" s="277"/>
      <c r="G1271" s="112" t="s">
        <v>1956</v>
      </c>
      <c r="H1271" s="278">
        <v>12</v>
      </c>
      <c r="I1271" s="277">
        <v>59201257</v>
      </c>
      <c r="J1271" s="113"/>
      <c r="K1271" s="114"/>
      <c r="L1271" s="149"/>
    </row>
    <row r="1272" spans="1:12" x14ac:dyDescent="0.25">
      <c r="A1272" s="476"/>
      <c r="B1272" s="277" t="s">
        <v>153</v>
      </c>
      <c r="C1272" s="278" t="s">
        <v>1964</v>
      </c>
      <c r="D1272" s="278">
        <v>12</v>
      </c>
      <c r="E1272" s="277">
        <v>57970810</v>
      </c>
      <c r="F1272" s="277"/>
      <c r="G1272" s="112" t="s">
        <v>1956</v>
      </c>
      <c r="H1272" s="278">
        <v>12</v>
      </c>
      <c r="I1272" s="277">
        <v>58381223</v>
      </c>
      <c r="J1272" s="113"/>
      <c r="K1272" s="114"/>
      <c r="L1272" s="149"/>
    </row>
    <row r="1273" spans="1:12" x14ac:dyDescent="0.25">
      <c r="A1273" s="476"/>
      <c r="B1273" s="277" t="s">
        <v>153</v>
      </c>
      <c r="C1273" s="278" t="s">
        <v>1964</v>
      </c>
      <c r="D1273" s="278">
        <v>12</v>
      </c>
      <c r="E1273" s="277">
        <v>57971364</v>
      </c>
      <c r="F1273" s="277"/>
      <c r="G1273" s="112" t="s">
        <v>1956</v>
      </c>
      <c r="H1273" s="278">
        <v>12</v>
      </c>
      <c r="I1273" s="277">
        <v>58118060</v>
      </c>
      <c r="J1273" s="113"/>
      <c r="K1273" s="114"/>
      <c r="L1273" s="149"/>
    </row>
    <row r="1274" spans="1:12" x14ac:dyDescent="0.25">
      <c r="A1274" s="476"/>
      <c r="B1274" s="277" t="s">
        <v>153</v>
      </c>
      <c r="C1274" s="278" t="s">
        <v>1964</v>
      </c>
      <c r="D1274" s="278">
        <v>12</v>
      </c>
      <c r="E1274" s="277">
        <v>57987786</v>
      </c>
      <c r="F1274" s="277"/>
      <c r="G1274" s="112" t="s">
        <v>1956</v>
      </c>
      <c r="H1274" s="278">
        <v>12</v>
      </c>
      <c r="I1274" s="277">
        <v>59022294</v>
      </c>
      <c r="J1274" s="113"/>
      <c r="K1274" s="114"/>
      <c r="L1274" s="149"/>
    </row>
    <row r="1275" spans="1:12" x14ac:dyDescent="0.25">
      <c r="A1275" s="476"/>
      <c r="B1275" s="277" t="s">
        <v>153</v>
      </c>
      <c r="C1275" s="278" t="s">
        <v>1964</v>
      </c>
      <c r="D1275" s="278">
        <v>12</v>
      </c>
      <c r="E1275" s="277">
        <v>58002860</v>
      </c>
      <c r="F1275" s="277"/>
      <c r="G1275" s="112" t="s">
        <v>1956</v>
      </c>
      <c r="H1275" s="278">
        <v>12</v>
      </c>
      <c r="I1275" s="277">
        <v>128634192</v>
      </c>
      <c r="J1275" s="113"/>
      <c r="K1275" s="114"/>
      <c r="L1275" s="149"/>
    </row>
    <row r="1276" spans="1:12" x14ac:dyDescent="0.25">
      <c r="A1276" s="476"/>
      <c r="B1276" s="277" t="s">
        <v>153</v>
      </c>
      <c r="C1276" s="278" t="s">
        <v>1954</v>
      </c>
      <c r="D1276" s="278">
        <v>12</v>
      </c>
      <c r="E1276" s="277">
        <v>58004974</v>
      </c>
      <c r="F1276" s="277"/>
      <c r="G1276" s="112" t="s">
        <v>1956</v>
      </c>
      <c r="H1276" s="278">
        <v>12</v>
      </c>
      <c r="I1276" s="277">
        <v>58148470</v>
      </c>
      <c r="J1276" s="113"/>
      <c r="K1276" s="114"/>
      <c r="L1276" s="149"/>
    </row>
    <row r="1277" spans="1:12" x14ac:dyDescent="0.25">
      <c r="A1277" s="476"/>
      <c r="B1277" s="277" t="s">
        <v>153</v>
      </c>
      <c r="C1277" s="278" t="s">
        <v>1964</v>
      </c>
      <c r="D1277" s="278">
        <v>12</v>
      </c>
      <c r="E1277" s="277">
        <v>58012730</v>
      </c>
      <c r="F1277" s="277"/>
      <c r="G1277" s="112" t="s">
        <v>1956</v>
      </c>
      <c r="H1277" s="278">
        <v>12</v>
      </c>
      <c r="I1277" s="277">
        <v>69516531</v>
      </c>
      <c r="J1277" s="113"/>
      <c r="K1277" s="114"/>
      <c r="L1277" s="149"/>
    </row>
    <row r="1278" spans="1:12" x14ac:dyDescent="0.25">
      <c r="A1278" s="476"/>
      <c r="B1278" s="277" t="s">
        <v>153</v>
      </c>
      <c r="C1278" s="278" t="s">
        <v>1964</v>
      </c>
      <c r="D1278" s="278">
        <v>12</v>
      </c>
      <c r="E1278" s="277">
        <v>58048433</v>
      </c>
      <c r="F1278" s="277"/>
      <c r="G1278" s="112" t="s">
        <v>1956</v>
      </c>
      <c r="H1278" s="278">
        <v>12</v>
      </c>
      <c r="I1278" s="277">
        <v>69789312</v>
      </c>
      <c r="J1278" s="113"/>
      <c r="K1278" s="114"/>
      <c r="L1278" s="149"/>
    </row>
    <row r="1279" spans="1:12" x14ac:dyDescent="0.25">
      <c r="A1279" s="476"/>
      <c r="B1279" s="277" t="s">
        <v>153</v>
      </c>
      <c r="C1279" s="278" t="s">
        <v>1960</v>
      </c>
      <c r="D1279" s="278">
        <v>12</v>
      </c>
      <c r="E1279" s="277">
        <v>58048770</v>
      </c>
      <c r="F1279" s="277"/>
      <c r="G1279" s="112" t="s">
        <v>1956</v>
      </c>
      <c r="H1279" s="278">
        <v>12</v>
      </c>
      <c r="I1279" s="277">
        <v>58106029</v>
      </c>
      <c r="J1279" s="113"/>
      <c r="K1279" s="114"/>
      <c r="L1279" s="149"/>
    </row>
    <row r="1280" spans="1:12" x14ac:dyDescent="0.25">
      <c r="A1280" s="476"/>
      <c r="B1280" s="277" t="s">
        <v>153</v>
      </c>
      <c r="C1280" s="278" t="s">
        <v>1964</v>
      </c>
      <c r="D1280" s="278">
        <v>12</v>
      </c>
      <c r="E1280" s="277">
        <v>58049038</v>
      </c>
      <c r="F1280" s="277"/>
      <c r="G1280" s="112" t="s">
        <v>1956</v>
      </c>
      <c r="H1280" s="278">
        <v>12</v>
      </c>
      <c r="I1280" s="277">
        <v>71269724</v>
      </c>
      <c r="J1280" s="113"/>
      <c r="K1280" s="114"/>
      <c r="L1280" s="149"/>
    </row>
    <row r="1281" spans="1:12" x14ac:dyDescent="0.25">
      <c r="A1281" s="476"/>
      <c r="B1281" s="277" t="s">
        <v>153</v>
      </c>
      <c r="C1281" s="278" t="s">
        <v>1960</v>
      </c>
      <c r="D1281" s="278">
        <v>12</v>
      </c>
      <c r="E1281" s="277">
        <v>58062450</v>
      </c>
      <c r="F1281" s="277"/>
      <c r="G1281" s="112" t="s">
        <v>1956</v>
      </c>
      <c r="H1281" s="278">
        <v>12</v>
      </c>
      <c r="I1281" s="277">
        <v>69220400</v>
      </c>
      <c r="J1281" s="113"/>
      <c r="K1281" s="114"/>
      <c r="L1281" s="149"/>
    </row>
    <row r="1282" spans="1:12" x14ac:dyDescent="0.25">
      <c r="A1282" s="476"/>
      <c r="B1282" s="277" t="s">
        <v>153</v>
      </c>
      <c r="C1282" s="278" t="s">
        <v>1964</v>
      </c>
      <c r="D1282" s="278">
        <v>12</v>
      </c>
      <c r="E1282" s="277">
        <v>58078503</v>
      </c>
      <c r="F1282" s="277"/>
      <c r="G1282" s="112" t="s">
        <v>1956</v>
      </c>
      <c r="H1282" s="278">
        <v>12</v>
      </c>
      <c r="I1282" s="277">
        <v>58736681</v>
      </c>
      <c r="J1282" s="113"/>
      <c r="K1282" s="114"/>
      <c r="L1282" s="149"/>
    </row>
    <row r="1283" spans="1:12" x14ac:dyDescent="0.25">
      <c r="A1283" s="476"/>
      <c r="B1283" s="277" t="s">
        <v>153</v>
      </c>
      <c r="C1283" s="278" t="s">
        <v>1964</v>
      </c>
      <c r="D1283" s="278">
        <v>12</v>
      </c>
      <c r="E1283" s="277">
        <v>58082933</v>
      </c>
      <c r="F1283" s="277"/>
      <c r="G1283" s="112" t="s">
        <v>1956</v>
      </c>
      <c r="H1283" s="278">
        <v>12</v>
      </c>
      <c r="I1283" s="277">
        <v>128043052</v>
      </c>
      <c r="J1283" s="113"/>
      <c r="K1283" s="114"/>
      <c r="L1283" s="149"/>
    </row>
    <row r="1284" spans="1:12" x14ac:dyDescent="0.25">
      <c r="A1284" s="476"/>
      <c r="B1284" s="277" t="s">
        <v>153</v>
      </c>
      <c r="C1284" s="278" t="s">
        <v>1960</v>
      </c>
      <c r="D1284" s="278">
        <v>12</v>
      </c>
      <c r="E1284" s="277">
        <v>58085508</v>
      </c>
      <c r="F1284" s="277"/>
      <c r="G1284" s="112" t="s">
        <v>1956</v>
      </c>
      <c r="H1284" s="278">
        <v>12</v>
      </c>
      <c r="I1284" s="277">
        <v>58633947</v>
      </c>
      <c r="J1284" s="113"/>
      <c r="K1284" s="114"/>
      <c r="L1284" s="149"/>
    </row>
    <row r="1285" spans="1:12" x14ac:dyDescent="0.25">
      <c r="A1285" s="476"/>
      <c r="B1285" s="277" t="s">
        <v>153</v>
      </c>
      <c r="C1285" s="278" t="s">
        <v>1964</v>
      </c>
      <c r="D1285" s="278">
        <v>12</v>
      </c>
      <c r="E1285" s="277">
        <v>58091643</v>
      </c>
      <c r="F1285" s="277"/>
      <c r="G1285" s="112" t="s">
        <v>1956</v>
      </c>
      <c r="H1285" s="278">
        <v>12</v>
      </c>
      <c r="I1285" s="277">
        <v>58157259</v>
      </c>
      <c r="J1285" s="113"/>
      <c r="K1285" s="114"/>
      <c r="L1285" s="149"/>
    </row>
    <row r="1286" spans="1:12" x14ac:dyDescent="0.25">
      <c r="A1286" s="476"/>
      <c r="B1286" s="277" t="s">
        <v>153</v>
      </c>
      <c r="C1286" s="278" t="s">
        <v>1964</v>
      </c>
      <c r="D1286" s="278">
        <v>12</v>
      </c>
      <c r="E1286" s="277">
        <v>58092888</v>
      </c>
      <c r="F1286" s="277"/>
      <c r="G1286" s="112" t="s">
        <v>1956</v>
      </c>
      <c r="H1286" s="278">
        <v>12</v>
      </c>
      <c r="I1286" s="277">
        <v>58132950</v>
      </c>
      <c r="J1286" s="113"/>
      <c r="K1286" s="114"/>
      <c r="L1286" s="149"/>
    </row>
    <row r="1287" spans="1:12" x14ac:dyDescent="0.25">
      <c r="A1287" s="476"/>
      <c r="B1287" s="277" t="s">
        <v>153</v>
      </c>
      <c r="C1287" s="278" t="s">
        <v>1960</v>
      </c>
      <c r="D1287" s="278">
        <v>12</v>
      </c>
      <c r="E1287" s="277">
        <v>58097006</v>
      </c>
      <c r="F1287" s="277"/>
      <c r="G1287" s="112" t="s">
        <v>1956</v>
      </c>
      <c r="H1287" s="278">
        <v>12</v>
      </c>
      <c r="I1287" s="277">
        <v>69622164</v>
      </c>
      <c r="J1287" s="113"/>
      <c r="K1287" s="114"/>
      <c r="L1287" s="149"/>
    </row>
    <row r="1288" spans="1:12" x14ac:dyDescent="0.25">
      <c r="A1288" s="476"/>
      <c r="B1288" s="277" t="s">
        <v>153</v>
      </c>
      <c r="C1288" s="278" t="s">
        <v>1954</v>
      </c>
      <c r="D1288" s="278">
        <v>12</v>
      </c>
      <c r="E1288" s="277">
        <v>58105139</v>
      </c>
      <c r="F1288" s="277"/>
      <c r="G1288" s="112" t="s">
        <v>1956</v>
      </c>
      <c r="H1288" s="278">
        <v>12</v>
      </c>
      <c r="I1288" s="277">
        <v>70948103</v>
      </c>
      <c r="J1288" s="113"/>
      <c r="K1288" s="114"/>
      <c r="L1288" s="149"/>
    </row>
    <row r="1289" spans="1:12" x14ac:dyDescent="0.25">
      <c r="A1289" s="476"/>
      <c r="B1289" s="277" t="s">
        <v>153</v>
      </c>
      <c r="C1289" s="278" t="s">
        <v>1964</v>
      </c>
      <c r="D1289" s="278">
        <v>12</v>
      </c>
      <c r="E1289" s="277">
        <v>58106151</v>
      </c>
      <c r="F1289" s="277"/>
      <c r="G1289" s="112" t="s">
        <v>1956</v>
      </c>
      <c r="H1289" s="278">
        <v>12</v>
      </c>
      <c r="I1289" s="277">
        <v>69541569</v>
      </c>
      <c r="J1289" s="113"/>
      <c r="K1289" s="114"/>
      <c r="L1289" s="149"/>
    </row>
    <row r="1290" spans="1:12" x14ac:dyDescent="0.25">
      <c r="A1290" s="476"/>
      <c r="B1290" s="277" t="s">
        <v>153</v>
      </c>
      <c r="C1290" s="278" t="s">
        <v>1964</v>
      </c>
      <c r="D1290" s="278">
        <v>12</v>
      </c>
      <c r="E1290" s="277">
        <v>58106781</v>
      </c>
      <c r="F1290" s="277"/>
      <c r="G1290" s="112" t="s">
        <v>1956</v>
      </c>
      <c r="H1290" s="278">
        <v>12</v>
      </c>
      <c r="I1290" s="277">
        <v>69722763</v>
      </c>
      <c r="J1290" s="113"/>
      <c r="K1290" s="114"/>
      <c r="L1290" s="149"/>
    </row>
    <row r="1291" spans="1:12" x14ac:dyDescent="0.25">
      <c r="A1291" s="476"/>
      <c r="B1291" s="277" t="s">
        <v>153</v>
      </c>
      <c r="C1291" s="278" t="s">
        <v>1964</v>
      </c>
      <c r="D1291" s="278">
        <v>12</v>
      </c>
      <c r="E1291" s="277">
        <v>58118595</v>
      </c>
      <c r="F1291" s="277"/>
      <c r="G1291" s="112" t="s">
        <v>1956</v>
      </c>
      <c r="H1291" s="278">
        <v>12</v>
      </c>
      <c r="I1291" s="277">
        <v>58162406</v>
      </c>
      <c r="J1291" s="113"/>
      <c r="K1291" s="114"/>
      <c r="L1291" s="149"/>
    </row>
    <row r="1292" spans="1:12" x14ac:dyDescent="0.25">
      <c r="A1292" s="476"/>
      <c r="B1292" s="277" t="s">
        <v>153</v>
      </c>
      <c r="C1292" s="278" t="s">
        <v>1964</v>
      </c>
      <c r="D1292" s="278">
        <v>12</v>
      </c>
      <c r="E1292" s="277">
        <v>58118912</v>
      </c>
      <c r="F1292" s="277"/>
      <c r="G1292" s="112" t="s">
        <v>1956</v>
      </c>
      <c r="H1292" s="278">
        <v>12</v>
      </c>
      <c r="I1292" s="277">
        <v>128511651</v>
      </c>
      <c r="J1292" s="113"/>
      <c r="K1292" s="114"/>
      <c r="L1292" s="149"/>
    </row>
    <row r="1293" spans="1:12" x14ac:dyDescent="0.25">
      <c r="A1293" s="476"/>
      <c r="B1293" s="277" t="s">
        <v>153</v>
      </c>
      <c r="C1293" s="278" t="s">
        <v>1960</v>
      </c>
      <c r="D1293" s="278">
        <v>12</v>
      </c>
      <c r="E1293" s="277">
        <v>58118944</v>
      </c>
      <c r="F1293" s="277"/>
      <c r="G1293" s="112" t="s">
        <v>1956</v>
      </c>
      <c r="H1293" s="278">
        <v>12</v>
      </c>
      <c r="I1293" s="277">
        <v>71220215</v>
      </c>
      <c r="J1293" s="113"/>
      <c r="K1293" s="114"/>
      <c r="L1293" s="149"/>
    </row>
    <row r="1294" spans="1:12" x14ac:dyDescent="0.25">
      <c r="A1294" s="476"/>
      <c r="B1294" s="277" t="s">
        <v>153</v>
      </c>
      <c r="C1294" s="278" t="s">
        <v>1960</v>
      </c>
      <c r="D1294" s="278">
        <v>12</v>
      </c>
      <c r="E1294" s="277">
        <v>58119002</v>
      </c>
      <c r="F1294" s="277"/>
      <c r="G1294" s="112" t="s">
        <v>1956</v>
      </c>
      <c r="H1294" s="278">
        <v>12</v>
      </c>
      <c r="I1294" s="277">
        <v>58219555</v>
      </c>
      <c r="J1294" s="113"/>
      <c r="K1294" s="114"/>
      <c r="L1294" s="149"/>
    </row>
    <row r="1295" spans="1:12" x14ac:dyDescent="0.25">
      <c r="A1295" s="476"/>
      <c r="B1295" s="277" t="s">
        <v>153</v>
      </c>
      <c r="C1295" s="278" t="s">
        <v>1964</v>
      </c>
      <c r="D1295" s="278">
        <v>12</v>
      </c>
      <c r="E1295" s="277">
        <v>58119416</v>
      </c>
      <c r="F1295" s="277"/>
      <c r="G1295" s="112" t="s">
        <v>1956</v>
      </c>
      <c r="H1295" s="278">
        <v>12</v>
      </c>
      <c r="I1295" s="277">
        <v>69499556</v>
      </c>
      <c r="J1295" s="113"/>
      <c r="K1295" s="114"/>
      <c r="L1295" s="149"/>
    </row>
    <row r="1296" spans="1:12" x14ac:dyDescent="0.25">
      <c r="A1296" s="476"/>
      <c r="B1296" s="277" t="s">
        <v>153</v>
      </c>
      <c r="C1296" s="278" t="s">
        <v>1954</v>
      </c>
      <c r="D1296" s="278">
        <v>12</v>
      </c>
      <c r="E1296" s="277">
        <v>58122928</v>
      </c>
      <c r="F1296" s="277"/>
      <c r="G1296" s="112" t="s">
        <v>1956</v>
      </c>
      <c r="H1296" s="278">
        <v>12</v>
      </c>
      <c r="I1296" s="277">
        <v>59166131</v>
      </c>
      <c r="J1296" s="113"/>
      <c r="K1296" s="114"/>
      <c r="L1296" s="149"/>
    </row>
    <row r="1297" spans="1:12" x14ac:dyDescent="0.25">
      <c r="A1297" s="476"/>
      <c r="B1297" s="277" t="s">
        <v>153</v>
      </c>
      <c r="C1297" s="278" t="s">
        <v>1964</v>
      </c>
      <c r="D1297" s="278">
        <v>12</v>
      </c>
      <c r="E1297" s="277">
        <v>58124850</v>
      </c>
      <c r="F1297" s="277"/>
      <c r="G1297" s="112" t="s">
        <v>1956</v>
      </c>
      <c r="H1297" s="278">
        <v>12</v>
      </c>
      <c r="I1297" s="277">
        <v>70135067</v>
      </c>
      <c r="J1297" s="113"/>
      <c r="K1297" s="114"/>
      <c r="L1297" s="149"/>
    </row>
    <row r="1298" spans="1:12" x14ac:dyDescent="0.25">
      <c r="A1298" s="476"/>
      <c r="B1298" s="277" t="s">
        <v>153</v>
      </c>
      <c r="C1298" s="278" t="s">
        <v>1954</v>
      </c>
      <c r="D1298" s="278">
        <v>12</v>
      </c>
      <c r="E1298" s="277">
        <v>58124910</v>
      </c>
      <c r="F1298" s="277"/>
      <c r="G1298" s="112" t="s">
        <v>1956</v>
      </c>
      <c r="H1298" s="278">
        <v>12</v>
      </c>
      <c r="I1298" s="277">
        <v>69984889</v>
      </c>
      <c r="J1298" s="113"/>
      <c r="K1298" s="114"/>
      <c r="L1298" s="149"/>
    </row>
    <row r="1299" spans="1:12" x14ac:dyDescent="0.25">
      <c r="A1299" s="476"/>
      <c r="B1299" s="277" t="s">
        <v>153</v>
      </c>
      <c r="C1299" s="278" t="s">
        <v>1954</v>
      </c>
      <c r="D1299" s="278">
        <v>12</v>
      </c>
      <c r="E1299" s="277">
        <v>58125327</v>
      </c>
      <c r="F1299" s="277"/>
      <c r="G1299" s="112" t="s">
        <v>1956</v>
      </c>
      <c r="H1299" s="278">
        <v>12</v>
      </c>
      <c r="I1299" s="277">
        <v>58144058</v>
      </c>
      <c r="J1299" s="113"/>
      <c r="K1299" s="114"/>
      <c r="L1299" s="149"/>
    </row>
    <row r="1300" spans="1:12" x14ac:dyDescent="0.25">
      <c r="A1300" s="476"/>
      <c r="B1300" s="277" t="s">
        <v>153</v>
      </c>
      <c r="C1300" s="278" t="s">
        <v>1964</v>
      </c>
      <c r="D1300" s="278">
        <v>12</v>
      </c>
      <c r="E1300" s="277">
        <v>58125404</v>
      </c>
      <c r="F1300" s="277"/>
      <c r="G1300" s="112" t="s">
        <v>1956</v>
      </c>
      <c r="H1300" s="278">
        <v>12</v>
      </c>
      <c r="I1300" s="277">
        <v>69583440</v>
      </c>
      <c r="J1300" s="113"/>
      <c r="K1300" s="114"/>
      <c r="L1300" s="149"/>
    </row>
    <row r="1301" spans="1:12" x14ac:dyDescent="0.25">
      <c r="A1301" s="476"/>
      <c r="B1301" s="277" t="s">
        <v>153</v>
      </c>
      <c r="C1301" s="278" t="s">
        <v>1954</v>
      </c>
      <c r="D1301" s="278">
        <v>12</v>
      </c>
      <c r="E1301" s="277">
        <v>58126378</v>
      </c>
      <c r="F1301" s="277"/>
      <c r="G1301" s="112" t="s">
        <v>1956</v>
      </c>
      <c r="H1301" s="278">
        <v>12</v>
      </c>
      <c r="I1301" s="277">
        <v>58173912</v>
      </c>
      <c r="J1301" s="113"/>
      <c r="K1301" s="114"/>
      <c r="L1301" s="149"/>
    </row>
    <row r="1302" spans="1:12" x14ac:dyDescent="0.25">
      <c r="A1302" s="476"/>
      <c r="B1302" s="277" t="s">
        <v>153</v>
      </c>
      <c r="C1302" s="278" t="s">
        <v>1964</v>
      </c>
      <c r="D1302" s="278">
        <v>12</v>
      </c>
      <c r="E1302" s="277">
        <v>58126403</v>
      </c>
      <c r="F1302" s="277"/>
      <c r="G1302" s="112" t="s">
        <v>1956</v>
      </c>
      <c r="H1302" s="278">
        <v>12</v>
      </c>
      <c r="I1302" s="277">
        <v>128607657</v>
      </c>
      <c r="J1302" s="113"/>
      <c r="K1302" s="114"/>
      <c r="L1302" s="149"/>
    </row>
    <row r="1303" spans="1:12" x14ac:dyDescent="0.25">
      <c r="A1303" s="476"/>
      <c r="B1303" s="277" t="s">
        <v>153</v>
      </c>
      <c r="C1303" s="278" t="s">
        <v>1964</v>
      </c>
      <c r="D1303" s="278">
        <v>12</v>
      </c>
      <c r="E1303" s="277">
        <v>58129522</v>
      </c>
      <c r="F1303" s="277"/>
      <c r="G1303" s="112" t="s">
        <v>1956</v>
      </c>
      <c r="H1303" s="278">
        <v>12</v>
      </c>
      <c r="I1303" s="277">
        <v>69646335</v>
      </c>
      <c r="J1303" s="113"/>
      <c r="K1303" s="114"/>
      <c r="L1303" s="149"/>
    </row>
    <row r="1304" spans="1:12" x14ac:dyDescent="0.25">
      <c r="A1304" s="476"/>
      <c r="B1304" s="277" t="s">
        <v>153</v>
      </c>
      <c r="C1304" s="278" t="s">
        <v>1954</v>
      </c>
      <c r="D1304" s="278">
        <v>12</v>
      </c>
      <c r="E1304" s="277">
        <v>58131883</v>
      </c>
      <c r="F1304" s="277"/>
      <c r="G1304" s="112" t="s">
        <v>1956</v>
      </c>
      <c r="H1304" s="278">
        <v>12</v>
      </c>
      <c r="I1304" s="277">
        <v>58161287</v>
      </c>
      <c r="J1304" s="113"/>
      <c r="K1304" s="114"/>
      <c r="L1304" s="149"/>
    </row>
    <row r="1305" spans="1:12" x14ac:dyDescent="0.25">
      <c r="A1305" s="476"/>
      <c r="B1305" s="277" t="s">
        <v>153</v>
      </c>
      <c r="C1305" s="278" t="s">
        <v>1964</v>
      </c>
      <c r="D1305" s="278">
        <v>12</v>
      </c>
      <c r="E1305" s="277">
        <v>58132042</v>
      </c>
      <c r="F1305" s="277"/>
      <c r="G1305" s="112" t="s">
        <v>1956</v>
      </c>
      <c r="H1305" s="278">
        <v>12</v>
      </c>
      <c r="I1305" s="277">
        <v>128081672</v>
      </c>
      <c r="J1305" s="113"/>
      <c r="K1305" s="114"/>
      <c r="L1305" s="149"/>
    </row>
    <row r="1306" spans="1:12" x14ac:dyDescent="0.25">
      <c r="A1306" s="476"/>
      <c r="B1306" s="277" t="s">
        <v>153</v>
      </c>
      <c r="C1306" s="278" t="s">
        <v>1960</v>
      </c>
      <c r="D1306" s="278">
        <v>12</v>
      </c>
      <c r="E1306" s="277">
        <v>58132914</v>
      </c>
      <c r="F1306" s="277"/>
      <c r="G1306" s="112" t="s">
        <v>1956</v>
      </c>
      <c r="H1306" s="278">
        <v>12</v>
      </c>
      <c r="I1306" s="277">
        <v>70946640</v>
      </c>
      <c r="J1306" s="113"/>
      <c r="K1306" s="114"/>
      <c r="L1306" s="149"/>
    </row>
    <row r="1307" spans="1:12" x14ac:dyDescent="0.25">
      <c r="A1307" s="476"/>
      <c r="B1307" s="277" t="s">
        <v>153</v>
      </c>
      <c r="C1307" s="278" t="s">
        <v>1954</v>
      </c>
      <c r="D1307" s="278">
        <v>12</v>
      </c>
      <c r="E1307" s="277">
        <v>58137436</v>
      </c>
      <c r="F1307" s="277"/>
      <c r="G1307" s="112" t="s">
        <v>1956</v>
      </c>
      <c r="H1307" s="278">
        <v>12</v>
      </c>
      <c r="I1307" s="277">
        <v>69996584</v>
      </c>
      <c r="J1307" s="113"/>
      <c r="K1307" s="114"/>
      <c r="L1307" s="149"/>
    </row>
    <row r="1308" spans="1:12" x14ac:dyDescent="0.25">
      <c r="A1308" s="476"/>
      <c r="B1308" s="277" t="s">
        <v>153</v>
      </c>
      <c r="C1308" s="278" t="s">
        <v>1960</v>
      </c>
      <c r="D1308" s="278">
        <v>12</v>
      </c>
      <c r="E1308" s="277">
        <v>58138584</v>
      </c>
      <c r="F1308" s="277"/>
      <c r="G1308" s="112" t="s">
        <v>1956</v>
      </c>
      <c r="H1308" s="278">
        <v>12</v>
      </c>
      <c r="I1308" s="277">
        <v>70127544</v>
      </c>
      <c r="J1308" s="113"/>
      <c r="K1308" s="114"/>
      <c r="L1308" s="149"/>
    </row>
    <row r="1309" spans="1:12" x14ac:dyDescent="0.25">
      <c r="A1309" s="476"/>
      <c r="B1309" s="277" t="s">
        <v>153</v>
      </c>
      <c r="C1309" s="278" t="s">
        <v>1960</v>
      </c>
      <c r="D1309" s="278">
        <v>12</v>
      </c>
      <c r="E1309" s="277">
        <v>58139409</v>
      </c>
      <c r="F1309" s="277"/>
      <c r="G1309" s="112" t="s">
        <v>1956</v>
      </c>
      <c r="H1309" s="278">
        <v>12</v>
      </c>
      <c r="I1309" s="277">
        <v>128589849</v>
      </c>
      <c r="J1309" s="113"/>
      <c r="K1309" s="114"/>
      <c r="L1309" s="149"/>
    </row>
    <row r="1310" spans="1:12" x14ac:dyDescent="0.25">
      <c r="A1310" s="476"/>
      <c r="B1310" s="277" t="s">
        <v>153</v>
      </c>
      <c r="C1310" s="278" t="s">
        <v>1954</v>
      </c>
      <c r="D1310" s="278">
        <v>12</v>
      </c>
      <c r="E1310" s="277">
        <v>58141875</v>
      </c>
      <c r="F1310" s="277"/>
      <c r="G1310" s="112" t="s">
        <v>1956</v>
      </c>
      <c r="H1310" s="278">
        <v>12</v>
      </c>
      <c r="I1310" s="277">
        <v>69916218</v>
      </c>
      <c r="J1310" s="113"/>
      <c r="K1310" s="114"/>
      <c r="L1310" s="149"/>
    </row>
    <row r="1311" spans="1:12" x14ac:dyDescent="0.25">
      <c r="A1311" s="476"/>
      <c r="B1311" s="277" t="s">
        <v>153</v>
      </c>
      <c r="C1311" s="278" t="s">
        <v>1964</v>
      </c>
      <c r="D1311" s="278">
        <v>12</v>
      </c>
      <c r="E1311" s="277">
        <v>58143945</v>
      </c>
      <c r="F1311" s="277"/>
      <c r="G1311" s="112" t="s">
        <v>1956</v>
      </c>
      <c r="H1311" s="278">
        <v>12</v>
      </c>
      <c r="I1311" s="277">
        <v>58161190</v>
      </c>
      <c r="J1311" s="113"/>
      <c r="K1311" s="114"/>
      <c r="L1311" s="149"/>
    </row>
    <row r="1312" spans="1:12" x14ac:dyDescent="0.25">
      <c r="A1312" s="476"/>
      <c r="B1312" s="277" t="s">
        <v>153</v>
      </c>
      <c r="C1312" s="278" t="s">
        <v>1954</v>
      </c>
      <c r="D1312" s="278">
        <v>12</v>
      </c>
      <c r="E1312" s="277">
        <v>58148190</v>
      </c>
      <c r="F1312" s="277"/>
      <c r="G1312" s="112" t="s">
        <v>1956</v>
      </c>
      <c r="H1312" s="278">
        <v>12</v>
      </c>
      <c r="I1312" s="277">
        <v>69513656</v>
      </c>
      <c r="J1312" s="113"/>
      <c r="K1312" s="114"/>
      <c r="L1312" s="149"/>
    </row>
    <row r="1313" spans="1:12" x14ac:dyDescent="0.25">
      <c r="A1313" s="476"/>
      <c r="B1313" s="277" t="s">
        <v>153</v>
      </c>
      <c r="C1313" s="278" t="s">
        <v>1954</v>
      </c>
      <c r="D1313" s="278">
        <v>12</v>
      </c>
      <c r="E1313" s="277">
        <v>58151166</v>
      </c>
      <c r="F1313" s="277"/>
      <c r="G1313" s="112" t="s">
        <v>1956</v>
      </c>
      <c r="H1313" s="278">
        <v>12</v>
      </c>
      <c r="I1313" s="277">
        <v>70949715</v>
      </c>
      <c r="J1313" s="113"/>
      <c r="K1313" s="114"/>
      <c r="L1313" s="149"/>
    </row>
    <row r="1314" spans="1:12" x14ac:dyDescent="0.25">
      <c r="A1314" s="476"/>
      <c r="B1314" s="277" t="s">
        <v>153</v>
      </c>
      <c r="C1314" s="278" t="s">
        <v>1954</v>
      </c>
      <c r="D1314" s="278">
        <v>12</v>
      </c>
      <c r="E1314" s="277">
        <v>58151328</v>
      </c>
      <c r="F1314" s="277"/>
      <c r="G1314" s="112" t="s">
        <v>1956</v>
      </c>
      <c r="H1314" s="278">
        <v>12</v>
      </c>
      <c r="I1314" s="277">
        <v>128598334</v>
      </c>
      <c r="J1314" s="113"/>
      <c r="K1314" s="114"/>
      <c r="L1314" s="149"/>
    </row>
    <row r="1315" spans="1:12" x14ac:dyDescent="0.25">
      <c r="A1315" s="476"/>
      <c r="B1315" s="277" t="s">
        <v>153</v>
      </c>
      <c r="C1315" s="278" t="s">
        <v>1964</v>
      </c>
      <c r="D1315" s="278">
        <v>12</v>
      </c>
      <c r="E1315" s="277">
        <v>58156656</v>
      </c>
      <c r="F1315" s="277"/>
      <c r="G1315" s="112" t="s">
        <v>1956</v>
      </c>
      <c r="H1315" s="278">
        <v>12</v>
      </c>
      <c r="I1315" s="277">
        <v>58212919</v>
      </c>
      <c r="J1315" s="113"/>
      <c r="K1315" s="114"/>
      <c r="L1315" s="149"/>
    </row>
    <row r="1316" spans="1:12" x14ac:dyDescent="0.25">
      <c r="A1316" s="476"/>
      <c r="B1316" s="277" t="s">
        <v>153</v>
      </c>
      <c r="C1316" s="278" t="s">
        <v>1964</v>
      </c>
      <c r="D1316" s="278">
        <v>12</v>
      </c>
      <c r="E1316" s="277">
        <v>58158427</v>
      </c>
      <c r="F1316" s="277"/>
      <c r="G1316" s="112" t="s">
        <v>1956</v>
      </c>
      <c r="H1316" s="278">
        <v>12</v>
      </c>
      <c r="I1316" s="277">
        <v>69573723</v>
      </c>
      <c r="J1316" s="113"/>
      <c r="K1316" s="114"/>
      <c r="L1316" s="149"/>
    </row>
    <row r="1317" spans="1:12" x14ac:dyDescent="0.25">
      <c r="A1317" s="476"/>
      <c r="B1317" s="277" t="s">
        <v>153</v>
      </c>
      <c r="C1317" s="278" t="s">
        <v>1960</v>
      </c>
      <c r="D1317" s="278">
        <v>12</v>
      </c>
      <c r="E1317" s="277">
        <v>58161715</v>
      </c>
      <c r="F1317" s="277"/>
      <c r="G1317" s="112" t="s">
        <v>1956</v>
      </c>
      <c r="H1317" s="278">
        <v>12</v>
      </c>
      <c r="I1317" s="277">
        <v>58234323</v>
      </c>
      <c r="J1317" s="113"/>
      <c r="K1317" s="114"/>
      <c r="L1317" s="149"/>
    </row>
    <row r="1318" spans="1:12" x14ac:dyDescent="0.25">
      <c r="A1318" s="476"/>
      <c r="B1318" s="277" t="s">
        <v>153</v>
      </c>
      <c r="C1318" s="278" t="s">
        <v>1964</v>
      </c>
      <c r="D1318" s="278">
        <v>12</v>
      </c>
      <c r="E1318" s="277">
        <v>58162345</v>
      </c>
      <c r="F1318" s="277"/>
      <c r="G1318" s="112" t="s">
        <v>1956</v>
      </c>
      <c r="H1318" s="278">
        <v>12</v>
      </c>
      <c r="I1318" s="277">
        <v>69353571</v>
      </c>
      <c r="J1318" s="113"/>
      <c r="K1318" s="114"/>
      <c r="L1318" s="149"/>
    </row>
    <row r="1319" spans="1:12" x14ac:dyDescent="0.25">
      <c r="A1319" s="476"/>
      <c r="B1319" s="277" t="s">
        <v>153</v>
      </c>
      <c r="C1319" s="278" t="s">
        <v>1954</v>
      </c>
      <c r="D1319" s="278">
        <v>12</v>
      </c>
      <c r="E1319" s="277">
        <v>58166096</v>
      </c>
      <c r="F1319" s="277"/>
      <c r="G1319" s="112" t="s">
        <v>1956</v>
      </c>
      <c r="H1319" s="278">
        <v>12</v>
      </c>
      <c r="I1319" s="277">
        <v>71252163</v>
      </c>
      <c r="J1319" s="113"/>
      <c r="K1319" s="114"/>
      <c r="L1319" s="149"/>
    </row>
    <row r="1320" spans="1:12" x14ac:dyDescent="0.25">
      <c r="A1320" s="476"/>
      <c r="B1320" s="277" t="s">
        <v>153</v>
      </c>
      <c r="C1320" s="278" t="s">
        <v>1954</v>
      </c>
      <c r="D1320" s="278">
        <v>12</v>
      </c>
      <c r="E1320" s="277">
        <v>58167570</v>
      </c>
      <c r="F1320" s="277"/>
      <c r="G1320" s="112" t="s">
        <v>1956</v>
      </c>
      <c r="H1320" s="278">
        <v>12</v>
      </c>
      <c r="I1320" s="277">
        <v>58226292</v>
      </c>
      <c r="J1320" s="113"/>
      <c r="K1320" s="114"/>
      <c r="L1320" s="149"/>
    </row>
    <row r="1321" spans="1:12" x14ac:dyDescent="0.25">
      <c r="A1321" s="476"/>
      <c r="B1321" s="277" t="s">
        <v>153</v>
      </c>
      <c r="C1321" s="278" t="s">
        <v>1954</v>
      </c>
      <c r="D1321" s="278">
        <v>12</v>
      </c>
      <c r="E1321" s="277">
        <v>58170220</v>
      </c>
      <c r="F1321" s="277"/>
      <c r="G1321" s="112" t="s">
        <v>1956</v>
      </c>
      <c r="H1321" s="278">
        <v>12</v>
      </c>
      <c r="I1321" s="277">
        <v>58363078</v>
      </c>
      <c r="J1321" s="113"/>
      <c r="K1321" s="114"/>
      <c r="L1321" s="149"/>
    </row>
    <row r="1322" spans="1:12" x14ac:dyDescent="0.25">
      <c r="A1322" s="476"/>
      <c r="B1322" s="277" t="s">
        <v>153</v>
      </c>
      <c r="C1322" s="278" t="s">
        <v>1964</v>
      </c>
      <c r="D1322" s="278">
        <v>12</v>
      </c>
      <c r="E1322" s="277">
        <v>58173536</v>
      </c>
      <c r="F1322" s="277"/>
      <c r="G1322" s="112" t="s">
        <v>1956</v>
      </c>
      <c r="H1322" s="278">
        <v>12</v>
      </c>
      <c r="I1322" s="277">
        <v>69727565</v>
      </c>
      <c r="J1322" s="113"/>
      <c r="K1322" s="114"/>
      <c r="L1322" s="149"/>
    </row>
    <row r="1323" spans="1:12" x14ac:dyDescent="0.25">
      <c r="A1323" s="476"/>
      <c r="B1323" s="277" t="s">
        <v>153</v>
      </c>
      <c r="C1323" s="278" t="s">
        <v>1964</v>
      </c>
      <c r="D1323" s="278">
        <v>12</v>
      </c>
      <c r="E1323" s="277">
        <v>58173910</v>
      </c>
      <c r="F1323" s="277"/>
      <c r="G1323" s="112" t="s">
        <v>1956</v>
      </c>
      <c r="H1323" s="278">
        <v>12</v>
      </c>
      <c r="I1323" s="277">
        <v>69524788</v>
      </c>
      <c r="J1323" s="113"/>
      <c r="K1323" s="114"/>
      <c r="L1323" s="149"/>
    </row>
    <row r="1324" spans="1:12" x14ac:dyDescent="0.25">
      <c r="A1324" s="476"/>
      <c r="B1324" s="277" t="s">
        <v>153</v>
      </c>
      <c r="C1324" s="278" t="s">
        <v>1960</v>
      </c>
      <c r="D1324" s="278">
        <v>12</v>
      </c>
      <c r="E1324" s="277">
        <v>58174306</v>
      </c>
      <c r="F1324" s="277"/>
      <c r="G1324" s="112" t="s">
        <v>1956</v>
      </c>
      <c r="H1324" s="278">
        <v>12</v>
      </c>
      <c r="I1324" s="277">
        <v>58221097</v>
      </c>
      <c r="J1324" s="113"/>
      <c r="K1324" s="114"/>
      <c r="L1324" s="149"/>
    </row>
    <row r="1325" spans="1:12" x14ac:dyDescent="0.25">
      <c r="A1325" s="476"/>
      <c r="B1325" s="277" t="s">
        <v>153</v>
      </c>
      <c r="C1325" s="278" t="s">
        <v>1954</v>
      </c>
      <c r="D1325" s="278">
        <v>12</v>
      </c>
      <c r="E1325" s="277">
        <v>58175765</v>
      </c>
      <c r="F1325" s="277"/>
      <c r="G1325" s="112" t="s">
        <v>1956</v>
      </c>
      <c r="H1325" s="278">
        <v>12</v>
      </c>
      <c r="I1325" s="277">
        <v>69494642</v>
      </c>
      <c r="J1325" s="113"/>
      <c r="K1325" s="114"/>
      <c r="L1325" s="149"/>
    </row>
    <row r="1326" spans="1:12" x14ac:dyDescent="0.25">
      <c r="A1326" s="476"/>
      <c r="B1326" s="277" t="s">
        <v>153</v>
      </c>
      <c r="C1326" s="278" t="s">
        <v>1954</v>
      </c>
      <c r="D1326" s="278">
        <v>12</v>
      </c>
      <c r="E1326" s="277">
        <v>58178883</v>
      </c>
      <c r="F1326" s="277"/>
      <c r="G1326" s="112" t="s">
        <v>1956</v>
      </c>
      <c r="H1326" s="278">
        <v>12</v>
      </c>
      <c r="I1326" s="277">
        <v>69123806</v>
      </c>
      <c r="J1326" s="113"/>
      <c r="K1326" s="114"/>
      <c r="L1326" s="149"/>
    </row>
    <row r="1327" spans="1:12" x14ac:dyDescent="0.25">
      <c r="A1327" s="476"/>
      <c r="B1327" s="277" t="s">
        <v>153</v>
      </c>
      <c r="C1327" s="278" t="s">
        <v>1954</v>
      </c>
      <c r="D1327" s="278">
        <v>12</v>
      </c>
      <c r="E1327" s="277">
        <v>58179290</v>
      </c>
      <c r="F1327" s="277"/>
      <c r="G1327" s="112" t="s">
        <v>1956</v>
      </c>
      <c r="H1327" s="278">
        <v>12</v>
      </c>
      <c r="I1327" s="277">
        <v>69644466</v>
      </c>
      <c r="J1327" s="113"/>
      <c r="K1327" s="114"/>
      <c r="L1327" s="149"/>
    </row>
    <row r="1328" spans="1:12" x14ac:dyDescent="0.25">
      <c r="A1328" s="476"/>
      <c r="B1328" s="277" t="s">
        <v>153</v>
      </c>
      <c r="C1328" s="278" t="s">
        <v>1954</v>
      </c>
      <c r="D1328" s="278">
        <v>12</v>
      </c>
      <c r="E1328" s="277">
        <v>58181725</v>
      </c>
      <c r="F1328" s="277"/>
      <c r="G1328" s="112" t="s">
        <v>1956</v>
      </c>
      <c r="H1328" s="278">
        <v>12</v>
      </c>
      <c r="I1328" s="277">
        <v>69426745</v>
      </c>
      <c r="J1328" s="113"/>
      <c r="K1328" s="114"/>
      <c r="L1328" s="149"/>
    </row>
    <row r="1329" spans="1:12" x14ac:dyDescent="0.25">
      <c r="A1329" s="476"/>
      <c r="B1329" s="277" t="s">
        <v>153</v>
      </c>
      <c r="C1329" s="278" t="s">
        <v>1964</v>
      </c>
      <c r="D1329" s="278">
        <v>12</v>
      </c>
      <c r="E1329" s="277">
        <v>58182279</v>
      </c>
      <c r="F1329" s="277"/>
      <c r="G1329" s="112" t="s">
        <v>1956</v>
      </c>
      <c r="H1329" s="278">
        <v>12</v>
      </c>
      <c r="I1329" s="277">
        <v>69514825</v>
      </c>
      <c r="J1329" s="113"/>
      <c r="K1329" s="114"/>
      <c r="L1329" s="149"/>
    </row>
    <row r="1330" spans="1:12" x14ac:dyDescent="0.25">
      <c r="A1330" s="476"/>
      <c r="B1330" s="277" t="s">
        <v>153</v>
      </c>
      <c r="C1330" s="278" t="s">
        <v>1954</v>
      </c>
      <c r="D1330" s="278">
        <v>12</v>
      </c>
      <c r="E1330" s="277">
        <v>58183980</v>
      </c>
      <c r="F1330" s="277"/>
      <c r="G1330" s="112" t="s">
        <v>1956</v>
      </c>
      <c r="H1330" s="278">
        <v>12</v>
      </c>
      <c r="I1330" s="277">
        <v>69285711</v>
      </c>
      <c r="J1330" s="113"/>
      <c r="K1330" s="114"/>
      <c r="L1330" s="149"/>
    </row>
    <row r="1331" spans="1:12" x14ac:dyDescent="0.25">
      <c r="A1331" s="476"/>
      <c r="B1331" s="277" t="s">
        <v>153</v>
      </c>
      <c r="C1331" s="278" t="s">
        <v>1954</v>
      </c>
      <c r="D1331" s="278">
        <v>12</v>
      </c>
      <c r="E1331" s="277">
        <v>58185668</v>
      </c>
      <c r="F1331" s="277"/>
      <c r="G1331" s="112" t="s">
        <v>1956</v>
      </c>
      <c r="H1331" s="278">
        <v>12</v>
      </c>
      <c r="I1331" s="277">
        <v>69501119</v>
      </c>
      <c r="J1331" s="113"/>
      <c r="K1331" s="114"/>
      <c r="L1331" s="149"/>
    </row>
    <row r="1332" spans="1:12" x14ac:dyDescent="0.25">
      <c r="A1332" s="476"/>
      <c r="B1332" s="277" t="s">
        <v>153</v>
      </c>
      <c r="C1332" s="278" t="s">
        <v>1960</v>
      </c>
      <c r="D1332" s="278">
        <v>12</v>
      </c>
      <c r="E1332" s="277">
        <v>58187092</v>
      </c>
      <c r="F1332" s="277"/>
      <c r="G1332" s="112" t="s">
        <v>1956</v>
      </c>
      <c r="H1332" s="278">
        <v>12</v>
      </c>
      <c r="I1332" s="277">
        <v>70055017</v>
      </c>
      <c r="J1332" s="113"/>
      <c r="K1332" s="114"/>
      <c r="L1332" s="149"/>
    </row>
    <row r="1333" spans="1:12" x14ac:dyDescent="0.25">
      <c r="A1333" s="476"/>
      <c r="B1333" s="277" t="s">
        <v>153</v>
      </c>
      <c r="C1333" s="278" t="s">
        <v>1964</v>
      </c>
      <c r="D1333" s="278">
        <v>12</v>
      </c>
      <c r="E1333" s="277">
        <v>58192975</v>
      </c>
      <c r="F1333" s="277"/>
      <c r="G1333" s="112" t="s">
        <v>1956</v>
      </c>
      <c r="H1333" s="278">
        <v>12</v>
      </c>
      <c r="I1333" s="277">
        <v>69403907</v>
      </c>
      <c r="J1333" s="113"/>
      <c r="K1333" s="114"/>
      <c r="L1333" s="149"/>
    </row>
    <row r="1334" spans="1:12" x14ac:dyDescent="0.25">
      <c r="A1334" s="476"/>
      <c r="B1334" s="277" t="s">
        <v>153</v>
      </c>
      <c r="C1334" s="278" t="s">
        <v>1964</v>
      </c>
      <c r="D1334" s="278">
        <v>12</v>
      </c>
      <c r="E1334" s="277">
        <v>58194391</v>
      </c>
      <c r="F1334" s="277"/>
      <c r="G1334" s="112" t="s">
        <v>1956</v>
      </c>
      <c r="H1334" s="278">
        <v>12</v>
      </c>
      <c r="I1334" s="277">
        <v>68693870</v>
      </c>
      <c r="J1334" s="113"/>
      <c r="K1334" s="114"/>
      <c r="L1334" s="149"/>
    </row>
    <row r="1335" spans="1:12" x14ac:dyDescent="0.25">
      <c r="A1335" s="476"/>
      <c r="B1335" s="277" t="s">
        <v>153</v>
      </c>
      <c r="C1335" s="278" t="s">
        <v>1964</v>
      </c>
      <c r="D1335" s="278">
        <v>12</v>
      </c>
      <c r="E1335" s="277">
        <v>58196327</v>
      </c>
      <c r="F1335" s="277"/>
      <c r="G1335" s="112" t="s">
        <v>1956</v>
      </c>
      <c r="H1335" s="278">
        <v>12</v>
      </c>
      <c r="I1335" s="277">
        <v>128057260</v>
      </c>
      <c r="J1335" s="113"/>
      <c r="K1335" s="114"/>
      <c r="L1335" s="149"/>
    </row>
    <row r="1336" spans="1:12" x14ac:dyDescent="0.25">
      <c r="A1336" s="476"/>
      <c r="B1336" s="277" t="s">
        <v>153</v>
      </c>
      <c r="C1336" s="278" t="s">
        <v>1964</v>
      </c>
      <c r="D1336" s="278">
        <v>12</v>
      </c>
      <c r="E1336" s="277">
        <v>58201297</v>
      </c>
      <c r="F1336" s="277"/>
      <c r="G1336" s="112" t="s">
        <v>1956</v>
      </c>
      <c r="H1336" s="278">
        <v>12</v>
      </c>
      <c r="I1336" s="277">
        <v>69926966</v>
      </c>
      <c r="J1336" s="113"/>
      <c r="K1336" s="114"/>
      <c r="L1336" s="149"/>
    </row>
    <row r="1337" spans="1:12" x14ac:dyDescent="0.25">
      <c r="A1337" s="476"/>
      <c r="B1337" s="277" t="s">
        <v>153</v>
      </c>
      <c r="C1337" s="278" t="s">
        <v>1960</v>
      </c>
      <c r="D1337" s="278">
        <v>12</v>
      </c>
      <c r="E1337" s="277">
        <v>58206081</v>
      </c>
      <c r="F1337" s="277"/>
      <c r="G1337" s="112" t="s">
        <v>1956</v>
      </c>
      <c r="H1337" s="278">
        <v>12</v>
      </c>
      <c r="I1337" s="277">
        <v>69210282</v>
      </c>
      <c r="J1337" s="113"/>
      <c r="K1337" s="114"/>
      <c r="L1337" s="149"/>
    </row>
    <row r="1338" spans="1:12" x14ac:dyDescent="0.25">
      <c r="A1338" s="476"/>
      <c r="B1338" s="277" t="s">
        <v>153</v>
      </c>
      <c r="C1338" s="278" t="s">
        <v>1954</v>
      </c>
      <c r="D1338" s="278">
        <v>12</v>
      </c>
      <c r="E1338" s="277">
        <v>58218465</v>
      </c>
      <c r="F1338" s="277"/>
      <c r="G1338" s="112" t="s">
        <v>1956</v>
      </c>
      <c r="H1338" s="278">
        <v>12</v>
      </c>
      <c r="I1338" s="277">
        <v>70034781</v>
      </c>
      <c r="J1338" s="113"/>
      <c r="K1338" s="114"/>
      <c r="L1338" s="149"/>
    </row>
    <row r="1339" spans="1:12" x14ac:dyDescent="0.25">
      <c r="A1339" s="476"/>
      <c r="B1339" s="277" t="s">
        <v>153</v>
      </c>
      <c r="C1339" s="278" t="s">
        <v>1964</v>
      </c>
      <c r="D1339" s="278">
        <v>12</v>
      </c>
      <c r="E1339" s="277">
        <v>58221976</v>
      </c>
      <c r="F1339" s="277"/>
      <c r="G1339" s="112" t="s">
        <v>1956</v>
      </c>
      <c r="H1339" s="278">
        <v>12</v>
      </c>
      <c r="I1339" s="277">
        <v>59200628</v>
      </c>
      <c r="J1339" s="113"/>
      <c r="K1339" s="114"/>
      <c r="L1339" s="149"/>
    </row>
    <row r="1340" spans="1:12" x14ac:dyDescent="0.25">
      <c r="A1340" s="476"/>
      <c r="B1340" s="277" t="s">
        <v>153</v>
      </c>
      <c r="C1340" s="278" t="s">
        <v>1964</v>
      </c>
      <c r="D1340" s="278">
        <v>12</v>
      </c>
      <c r="E1340" s="277">
        <v>58228547</v>
      </c>
      <c r="F1340" s="277"/>
      <c r="G1340" s="112" t="s">
        <v>1956</v>
      </c>
      <c r="H1340" s="278">
        <v>12</v>
      </c>
      <c r="I1340" s="277">
        <v>69748824</v>
      </c>
      <c r="J1340" s="113"/>
      <c r="K1340" s="114"/>
      <c r="L1340" s="149"/>
    </row>
    <row r="1341" spans="1:12" x14ac:dyDescent="0.25">
      <c r="A1341" s="476"/>
      <c r="B1341" s="277" t="s">
        <v>153</v>
      </c>
      <c r="C1341" s="278" t="s">
        <v>1964</v>
      </c>
      <c r="D1341" s="278">
        <v>12</v>
      </c>
      <c r="E1341" s="277">
        <v>58228988</v>
      </c>
      <c r="F1341" s="277"/>
      <c r="G1341" s="112" t="s">
        <v>1956</v>
      </c>
      <c r="H1341" s="278">
        <v>12</v>
      </c>
      <c r="I1341" s="277">
        <v>69204785</v>
      </c>
      <c r="J1341" s="113"/>
      <c r="K1341" s="114"/>
      <c r="L1341" s="149"/>
    </row>
    <row r="1342" spans="1:12" x14ac:dyDescent="0.25">
      <c r="A1342" s="476"/>
      <c r="B1342" s="277" t="s">
        <v>153</v>
      </c>
      <c r="C1342" s="278" t="s">
        <v>1960</v>
      </c>
      <c r="D1342" s="278">
        <v>12</v>
      </c>
      <c r="E1342" s="277">
        <v>58236866</v>
      </c>
      <c r="F1342" s="277"/>
      <c r="G1342" s="112" t="s">
        <v>1956</v>
      </c>
      <c r="H1342" s="278">
        <v>12</v>
      </c>
      <c r="I1342" s="277">
        <v>69494240</v>
      </c>
      <c r="J1342" s="113"/>
      <c r="K1342" s="114"/>
      <c r="L1342" s="149"/>
    </row>
    <row r="1343" spans="1:12" x14ac:dyDescent="0.25">
      <c r="A1343" s="476"/>
      <c r="B1343" s="277" t="s">
        <v>153</v>
      </c>
      <c r="C1343" s="278" t="s">
        <v>1964</v>
      </c>
      <c r="D1343" s="278">
        <v>12</v>
      </c>
      <c r="E1343" s="277">
        <v>58237742</v>
      </c>
      <c r="F1343" s="277"/>
      <c r="G1343" s="112" t="s">
        <v>1956</v>
      </c>
      <c r="H1343" s="278">
        <v>12</v>
      </c>
      <c r="I1343" s="277">
        <v>69705595</v>
      </c>
      <c r="J1343" s="113"/>
      <c r="K1343" s="114"/>
      <c r="L1343" s="149"/>
    </row>
    <row r="1344" spans="1:12" x14ac:dyDescent="0.25">
      <c r="A1344" s="476"/>
      <c r="B1344" s="277" t="s">
        <v>153</v>
      </c>
      <c r="C1344" s="278" t="s">
        <v>1954</v>
      </c>
      <c r="D1344" s="278">
        <v>12</v>
      </c>
      <c r="E1344" s="277">
        <v>58239769</v>
      </c>
      <c r="F1344" s="277"/>
      <c r="G1344" s="112" t="s">
        <v>1956</v>
      </c>
      <c r="H1344" s="278">
        <v>12</v>
      </c>
      <c r="I1344" s="277">
        <v>69716385</v>
      </c>
      <c r="J1344" s="113"/>
      <c r="K1344" s="114"/>
      <c r="L1344" s="149"/>
    </row>
    <row r="1345" spans="1:12" x14ac:dyDescent="0.25">
      <c r="A1345" s="476"/>
      <c r="B1345" s="277" t="s">
        <v>153</v>
      </c>
      <c r="C1345" s="278" t="s">
        <v>1964</v>
      </c>
      <c r="D1345" s="278">
        <v>12</v>
      </c>
      <c r="E1345" s="277">
        <v>58239819</v>
      </c>
      <c r="F1345" s="277"/>
      <c r="G1345" s="112" t="s">
        <v>1956</v>
      </c>
      <c r="H1345" s="278">
        <v>12</v>
      </c>
      <c r="I1345" s="277">
        <v>59150351</v>
      </c>
      <c r="J1345" s="113"/>
      <c r="K1345" s="114"/>
      <c r="L1345" s="149"/>
    </row>
    <row r="1346" spans="1:12" x14ac:dyDescent="0.25">
      <c r="A1346" s="476"/>
      <c r="B1346" s="277" t="s">
        <v>153</v>
      </c>
      <c r="C1346" s="278" t="s">
        <v>1964</v>
      </c>
      <c r="D1346" s="278">
        <v>12</v>
      </c>
      <c r="E1346" s="277">
        <v>58239830</v>
      </c>
      <c r="F1346" s="277"/>
      <c r="G1346" s="112" t="s">
        <v>1956</v>
      </c>
      <c r="H1346" s="278">
        <v>12</v>
      </c>
      <c r="I1346" s="277">
        <v>69958354</v>
      </c>
      <c r="J1346" s="113"/>
      <c r="K1346" s="114"/>
      <c r="L1346" s="149"/>
    </row>
    <row r="1347" spans="1:12" x14ac:dyDescent="0.25">
      <c r="A1347" s="476"/>
      <c r="B1347" s="277" t="s">
        <v>153</v>
      </c>
      <c r="C1347" s="278" t="s">
        <v>1954</v>
      </c>
      <c r="D1347" s="278">
        <v>12</v>
      </c>
      <c r="E1347" s="277">
        <v>58243875</v>
      </c>
      <c r="F1347" s="277"/>
      <c r="G1347" s="112" t="s">
        <v>1956</v>
      </c>
      <c r="H1347" s="278">
        <v>12</v>
      </c>
      <c r="I1347" s="277">
        <v>71222659</v>
      </c>
      <c r="J1347" s="113"/>
      <c r="K1347" s="114"/>
      <c r="L1347" s="149"/>
    </row>
    <row r="1348" spans="1:12" x14ac:dyDescent="0.25">
      <c r="A1348" s="476"/>
      <c r="B1348" s="277" t="s">
        <v>153</v>
      </c>
      <c r="C1348" s="278" t="s">
        <v>1960</v>
      </c>
      <c r="D1348" s="278">
        <v>12</v>
      </c>
      <c r="E1348" s="277">
        <v>58246208</v>
      </c>
      <c r="F1348" s="277"/>
      <c r="G1348" s="112" t="s">
        <v>1956</v>
      </c>
      <c r="H1348" s="278">
        <v>12</v>
      </c>
      <c r="I1348" s="277">
        <v>59201067</v>
      </c>
      <c r="J1348" s="113"/>
      <c r="K1348" s="114"/>
      <c r="L1348" s="149"/>
    </row>
    <row r="1349" spans="1:12" x14ac:dyDescent="0.25">
      <c r="A1349" s="476"/>
      <c r="B1349" s="277" t="s">
        <v>153</v>
      </c>
      <c r="C1349" s="278" t="s">
        <v>1964</v>
      </c>
      <c r="D1349" s="278">
        <v>12</v>
      </c>
      <c r="E1349" s="277">
        <v>58248700</v>
      </c>
      <c r="F1349" s="277"/>
      <c r="G1349" s="112" t="s">
        <v>1956</v>
      </c>
      <c r="H1349" s="278">
        <v>12</v>
      </c>
      <c r="I1349" s="277">
        <v>59269898</v>
      </c>
      <c r="J1349" s="113"/>
      <c r="K1349" s="114"/>
      <c r="L1349" s="149"/>
    </row>
    <row r="1350" spans="1:12" x14ac:dyDescent="0.25">
      <c r="A1350" s="476"/>
      <c r="B1350" s="277" t="s">
        <v>153</v>
      </c>
      <c r="C1350" s="278" t="s">
        <v>1954</v>
      </c>
      <c r="D1350" s="278">
        <v>12</v>
      </c>
      <c r="E1350" s="277">
        <v>58251447</v>
      </c>
      <c r="F1350" s="277"/>
      <c r="G1350" s="112" t="s">
        <v>1956</v>
      </c>
      <c r="H1350" s="278">
        <v>12</v>
      </c>
      <c r="I1350" s="277">
        <v>69243383</v>
      </c>
      <c r="J1350" s="113"/>
      <c r="K1350" s="114"/>
      <c r="L1350" s="149"/>
    </row>
    <row r="1351" spans="1:12" x14ac:dyDescent="0.25">
      <c r="A1351" s="476"/>
      <c r="B1351" s="277" t="s">
        <v>153</v>
      </c>
      <c r="C1351" s="278" t="s">
        <v>1954</v>
      </c>
      <c r="D1351" s="278">
        <v>12</v>
      </c>
      <c r="E1351" s="277">
        <v>58252031</v>
      </c>
      <c r="F1351" s="277"/>
      <c r="G1351" s="112" t="s">
        <v>1956</v>
      </c>
      <c r="H1351" s="278">
        <v>12</v>
      </c>
      <c r="I1351" s="277">
        <v>59199980</v>
      </c>
      <c r="J1351" s="113"/>
      <c r="K1351" s="114"/>
      <c r="L1351" s="149"/>
    </row>
    <row r="1352" spans="1:12" x14ac:dyDescent="0.25">
      <c r="A1352" s="476"/>
      <c r="B1352" s="277" t="s">
        <v>153</v>
      </c>
      <c r="C1352" s="278" t="s">
        <v>1960</v>
      </c>
      <c r="D1352" s="278">
        <v>12</v>
      </c>
      <c r="E1352" s="277">
        <v>58252904</v>
      </c>
      <c r="F1352" s="277"/>
      <c r="G1352" s="112" t="s">
        <v>1956</v>
      </c>
      <c r="H1352" s="278">
        <v>12</v>
      </c>
      <c r="I1352" s="277">
        <v>71220108</v>
      </c>
      <c r="J1352" s="113"/>
      <c r="K1352" s="114"/>
      <c r="L1352" s="149"/>
    </row>
    <row r="1353" spans="1:12" x14ac:dyDescent="0.25">
      <c r="A1353" s="476"/>
      <c r="B1353" s="277" t="s">
        <v>153</v>
      </c>
      <c r="C1353" s="278" t="s">
        <v>1960</v>
      </c>
      <c r="D1353" s="278">
        <v>12</v>
      </c>
      <c r="E1353" s="277">
        <v>58258928</v>
      </c>
      <c r="F1353" s="277"/>
      <c r="G1353" s="112" t="s">
        <v>1956</v>
      </c>
      <c r="H1353" s="278">
        <v>12</v>
      </c>
      <c r="I1353" s="277">
        <v>71147689</v>
      </c>
      <c r="J1353" s="113"/>
      <c r="K1353" s="114"/>
      <c r="L1353" s="149"/>
    </row>
    <row r="1354" spans="1:12" x14ac:dyDescent="0.25">
      <c r="A1354" s="476"/>
      <c r="B1354" s="277" t="s">
        <v>153</v>
      </c>
      <c r="C1354" s="278" t="s">
        <v>1964</v>
      </c>
      <c r="D1354" s="278">
        <v>12</v>
      </c>
      <c r="E1354" s="277">
        <v>58258985</v>
      </c>
      <c r="F1354" s="277"/>
      <c r="G1354" s="112" t="s">
        <v>1956</v>
      </c>
      <c r="H1354" s="278">
        <v>12</v>
      </c>
      <c r="I1354" s="277">
        <v>128204700</v>
      </c>
      <c r="J1354" s="113"/>
      <c r="K1354" s="114"/>
      <c r="L1354" s="149"/>
    </row>
    <row r="1355" spans="1:12" x14ac:dyDescent="0.25">
      <c r="A1355" s="476"/>
      <c r="B1355" s="277" t="s">
        <v>153</v>
      </c>
      <c r="C1355" s="278" t="s">
        <v>1954</v>
      </c>
      <c r="D1355" s="278">
        <v>12</v>
      </c>
      <c r="E1355" s="277">
        <v>58262901</v>
      </c>
      <c r="F1355" s="277"/>
      <c r="G1355" s="112" t="s">
        <v>1956</v>
      </c>
      <c r="H1355" s="278">
        <v>12</v>
      </c>
      <c r="I1355" s="277">
        <v>70429197</v>
      </c>
      <c r="J1355" s="113"/>
      <c r="K1355" s="114"/>
      <c r="L1355" s="149"/>
    </row>
    <row r="1356" spans="1:12" x14ac:dyDescent="0.25">
      <c r="A1356" s="476"/>
      <c r="B1356" s="277" t="s">
        <v>153</v>
      </c>
      <c r="C1356" s="278" t="s">
        <v>1964</v>
      </c>
      <c r="D1356" s="278">
        <v>12</v>
      </c>
      <c r="E1356" s="277">
        <v>58265176</v>
      </c>
      <c r="F1356" s="277"/>
      <c r="G1356" s="112" t="s">
        <v>1956</v>
      </c>
      <c r="H1356" s="278">
        <v>12</v>
      </c>
      <c r="I1356" s="277">
        <v>58323615</v>
      </c>
      <c r="J1356" s="113"/>
      <c r="K1356" s="114"/>
      <c r="L1356" s="149"/>
    </row>
    <row r="1357" spans="1:12" x14ac:dyDescent="0.25">
      <c r="A1357" s="476"/>
      <c r="B1357" s="277" t="s">
        <v>153</v>
      </c>
      <c r="C1357" s="278" t="s">
        <v>1964</v>
      </c>
      <c r="D1357" s="278">
        <v>12</v>
      </c>
      <c r="E1357" s="277">
        <v>58267642</v>
      </c>
      <c r="F1357" s="277"/>
      <c r="G1357" s="112" t="s">
        <v>1956</v>
      </c>
      <c r="H1357" s="278">
        <v>12</v>
      </c>
      <c r="I1357" s="277">
        <v>128371452</v>
      </c>
      <c r="J1357" s="113"/>
      <c r="K1357" s="114"/>
      <c r="L1357" s="149"/>
    </row>
    <row r="1358" spans="1:12" x14ac:dyDescent="0.25">
      <c r="A1358" s="476"/>
      <c r="B1358" s="277" t="s">
        <v>153</v>
      </c>
      <c r="C1358" s="278" t="s">
        <v>1964</v>
      </c>
      <c r="D1358" s="278">
        <v>12</v>
      </c>
      <c r="E1358" s="277">
        <v>58268044</v>
      </c>
      <c r="F1358" s="277"/>
      <c r="G1358" s="112" t="s">
        <v>1956</v>
      </c>
      <c r="H1358" s="278">
        <v>12</v>
      </c>
      <c r="I1358" s="277">
        <v>70068868</v>
      </c>
      <c r="J1358" s="113"/>
      <c r="K1358" s="114"/>
      <c r="L1358" s="149"/>
    </row>
    <row r="1359" spans="1:12" x14ac:dyDescent="0.25">
      <c r="A1359" s="476"/>
      <c r="B1359" s="277" t="s">
        <v>153</v>
      </c>
      <c r="C1359" s="278" t="s">
        <v>1954</v>
      </c>
      <c r="D1359" s="278">
        <v>12</v>
      </c>
      <c r="E1359" s="277">
        <v>58268316</v>
      </c>
      <c r="F1359" s="277"/>
      <c r="G1359" s="112" t="s">
        <v>1956</v>
      </c>
      <c r="H1359" s="278">
        <v>12</v>
      </c>
      <c r="I1359" s="277">
        <v>69820268</v>
      </c>
      <c r="J1359" s="113"/>
      <c r="K1359" s="114"/>
      <c r="L1359" s="149"/>
    </row>
    <row r="1360" spans="1:12" x14ac:dyDescent="0.25">
      <c r="A1360" s="476"/>
      <c r="B1360" s="277" t="s">
        <v>153</v>
      </c>
      <c r="C1360" s="278" t="s">
        <v>1964</v>
      </c>
      <c r="D1360" s="278">
        <v>12</v>
      </c>
      <c r="E1360" s="277">
        <v>58269095</v>
      </c>
      <c r="F1360" s="277"/>
      <c r="G1360" s="112" t="s">
        <v>1956</v>
      </c>
      <c r="H1360" s="278">
        <v>12</v>
      </c>
      <c r="I1360" s="277">
        <v>59105941</v>
      </c>
      <c r="J1360" s="113"/>
      <c r="K1360" s="114"/>
      <c r="L1360" s="149"/>
    </row>
    <row r="1361" spans="1:12" x14ac:dyDescent="0.25">
      <c r="A1361" s="476"/>
      <c r="B1361" s="277" t="s">
        <v>153</v>
      </c>
      <c r="C1361" s="278" t="s">
        <v>1964</v>
      </c>
      <c r="D1361" s="278">
        <v>12</v>
      </c>
      <c r="E1361" s="277">
        <v>58269102</v>
      </c>
      <c r="F1361" s="277"/>
      <c r="G1361" s="112" t="s">
        <v>1956</v>
      </c>
      <c r="H1361" s="278">
        <v>12</v>
      </c>
      <c r="I1361" s="277">
        <v>128537320</v>
      </c>
      <c r="J1361" s="113"/>
      <c r="K1361" s="114"/>
      <c r="L1361" s="149"/>
    </row>
    <row r="1362" spans="1:12" x14ac:dyDescent="0.25">
      <c r="A1362" s="476"/>
      <c r="B1362" s="277" t="s">
        <v>153</v>
      </c>
      <c r="C1362" s="278" t="s">
        <v>1960</v>
      </c>
      <c r="D1362" s="278">
        <v>12</v>
      </c>
      <c r="E1362" s="277">
        <v>58269151</v>
      </c>
      <c r="F1362" s="277"/>
      <c r="G1362" s="112" t="s">
        <v>1956</v>
      </c>
      <c r="H1362" s="278">
        <v>12</v>
      </c>
      <c r="I1362" s="277">
        <v>69699870</v>
      </c>
      <c r="J1362" s="113"/>
      <c r="K1362" s="114"/>
      <c r="L1362" s="149"/>
    </row>
    <row r="1363" spans="1:12" x14ac:dyDescent="0.25">
      <c r="A1363" s="476"/>
      <c r="B1363" s="277" t="s">
        <v>153</v>
      </c>
      <c r="C1363" s="278" t="s">
        <v>1960</v>
      </c>
      <c r="D1363" s="278">
        <v>12</v>
      </c>
      <c r="E1363" s="277">
        <v>58269387</v>
      </c>
      <c r="F1363" s="277"/>
      <c r="G1363" s="112" t="s">
        <v>1956</v>
      </c>
      <c r="H1363" s="278">
        <v>12</v>
      </c>
      <c r="I1363" s="277">
        <v>69682671</v>
      </c>
      <c r="J1363" s="113"/>
      <c r="K1363" s="114"/>
      <c r="L1363" s="149"/>
    </row>
    <row r="1364" spans="1:12" x14ac:dyDescent="0.25">
      <c r="A1364" s="476"/>
      <c r="B1364" s="277" t="s">
        <v>153</v>
      </c>
      <c r="C1364" s="278" t="s">
        <v>1964</v>
      </c>
      <c r="D1364" s="278">
        <v>12</v>
      </c>
      <c r="E1364" s="277">
        <v>58270286</v>
      </c>
      <c r="F1364" s="277"/>
      <c r="G1364" s="112" t="s">
        <v>1956</v>
      </c>
      <c r="H1364" s="278">
        <v>12</v>
      </c>
      <c r="I1364" s="277">
        <v>69441352</v>
      </c>
      <c r="J1364" s="113"/>
      <c r="K1364" s="114"/>
      <c r="L1364" s="149"/>
    </row>
    <row r="1365" spans="1:12" x14ac:dyDescent="0.25">
      <c r="A1365" s="476"/>
      <c r="B1365" s="277" t="s">
        <v>153</v>
      </c>
      <c r="C1365" s="278" t="s">
        <v>1960</v>
      </c>
      <c r="D1365" s="278">
        <v>12</v>
      </c>
      <c r="E1365" s="277">
        <v>58276275</v>
      </c>
      <c r="F1365" s="277"/>
      <c r="G1365" s="112" t="s">
        <v>1956</v>
      </c>
      <c r="H1365" s="278">
        <v>12</v>
      </c>
      <c r="I1365" s="277">
        <v>69642740</v>
      </c>
      <c r="J1365" s="113"/>
      <c r="K1365" s="114"/>
      <c r="L1365" s="149"/>
    </row>
    <row r="1366" spans="1:12" x14ac:dyDescent="0.25">
      <c r="A1366" s="476"/>
      <c r="B1366" s="277" t="s">
        <v>153</v>
      </c>
      <c r="C1366" s="278" t="s">
        <v>1964</v>
      </c>
      <c r="D1366" s="278">
        <v>12</v>
      </c>
      <c r="E1366" s="277">
        <v>58332419</v>
      </c>
      <c r="F1366" s="277"/>
      <c r="G1366" s="112" t="s">
        <v>1956</v>
      </c>
      <c r="H1366" s="278">
        <v>12</v>
      </c>
      <c r="I1366" s="277">
        <v>69374506</v>
      </c>
      <c r="J1366" s="113"/>
      <c r="K1366" s="114"/>
      <c r="L1366" s="149"/>
    </row>
    <row r="1367" spans="1:12" x14ac:dyDescent="0.25">
      <c r="A1367" s="476"/>
      <c r="B1367" s="277" t="s">
        <v>153</v>
      </c>
      <c r="C1367" s="278" t="s">
        <v>1964</v>
      </c>
      <c r="D1367" s="278">
        <v>12</v>
      </c>
      <c r="E1367" s="277">
        <v>58333528</v>
      </c>
      <c r="F1367" s="277"/>
      <c r="G1367" s="112" t="s">
        <v>1956</v>
      </c>
      <c r="H1367" s="278">
        <v>12</v>
      </c>
      <c r="I1367" s="277">
        <v>69984770</v>
      </c>
      <c r="J1367" s="113"/>
      <c r="K1367" s="114"/>
      <c r="L1367" s="149"/>
    </row>
    <row r="1368" spans="1:12" x14ac:dyDescent="0.25">
      <c r="A1368" s="476"/>
      <c r="B1368" s="277" t="s">
        <v>153</v>
      </c>
      <c r="C1368" s="278" t="s">
        <v>1964</v>
      </c>
      <c r="D1368" s="278">
        <v>12</v>
      </c>
      <c r="E1368" s="277">
        <v>58334652</v>
      </c>
      <c r="F1368" s="277"/>
      <c r="G1368" s="112" t="s">
        <v>1956</v>
      </c>
      <c r="H1368" s="278">
        <v>12</v>
      </c>
      <c r="I1368" s="277">
        <v>128684367</v>
      </c>
      <c r="J1368" s="113"/>
      <c r="K1368" s="114"/>
      <c r="L1368" s="149"/>
    </row>
    <row r="1369" spans="1:12" x14ac:dyDescent="0.25">
      <c r="A1369" s="476"/>
      <c r="B1369" s="277" t="s">
        <v>153</v>
      </c>
      <c r="C1369" s="278" t="s">
        <v>1954</v>
      </c>
      <c r="D1369" s="278">
        <v>12</v>
      </c>
      <c r="E1369" s="277">
        <v>58339937</v>
      </c>
      <c r="F1369" s="277"/>
      <c r="G1369" s="112" t="s">
        <v>1956</v>
      </c>
      <c r="H1369" s="278">
        <v>12</v>
      </c>
      <c r="I1369" s="277">
        <v>69669432</v>
      </c>
      <c r="J1369" s="113"/>
      <c r="K1369" s="114"/>
      <c r="L1369" s="149"/>
    </row>
    <row r="1370" spans="1:12" x14ac:dyDescent="0.25">
      <c r="A1370" s="476"/>
      <c r="B1370" s="277" t="s">
        <v>153</v>
      </c>
      <c r="C1370" s="278" t="s">
        <v>1954</v>
      </c>
      <c r="D1370" s="278">
        <v>12</v>
      </c>
      <c r="E1370" s="277">
        <v>58377693</v>
      </c>
      <c r="F1370" s="277"/>
      <c r="G1370" s="112" t="s">
        <v>1956</v>
      </c>
      <c r="H1370" s="278">
        <v>12</v>
      </c>
      <c r="I1370" s="277">
        <v>69287351</v>
      </c>
      <c r="J1370" s="113"/>
      <c r="K1370" s="114"/>
      <c r="L1370" s="149"/>
    </row>
    <row r="1371" spans="1:12" x14ac:dyDescent="0.25">
      <c r="A1371" s="476"/>
      <c r="B1371" s="277" t="s">
        <v>153</v>
      </c>
      <c r="C1371" s="278" t="s">
        <v>1954</v>
      </c>
      <c r="D1371" s="278">
        <v>12</v>
      </c>
      <c r="E1371" s="277">
        <v>58380955</v>
      </c>
      <c r="F1371" s="277"/>
      <c r="G1371" s="112" t="s">
        <v>1956</v>
      </c>
      <c r="H1371" s="278">
        <v>12</v>
      </c>
      <c r="I1371" s="277">
        <v>69752489</v>
      </c>
      <c r="J1371" s="113"/>
      <c r="K1371" s="114"/>
      <c r="L1371" s="149"/>
    </row>
    <row r="1372" spans="1:12" x14ac:dyDescent="0.25">
      <c r="A1372" s="476"/>
      <c r="B1372" s="277" t="s">
        <v>153</v>
      </c>
      <c r="C1372" s="278" t="s">
        <v>1960</v>
      </c>
      <c r="D1372" s="278">
        <v>12</v>
      </c>
      <c r="E1372" s="277">
        <v>58381615</v>
      </c>
      <c r="F1372" s="277"/>
      <c r="G1372" s="112" t="s">
        <v>1956</v>
      </c>
      <c r="H1372" s="278">
        <v>12</v>
      </c>
      <c r="I1372" s="277">
        <v>71221790</v>
      </c>
      <c r="J1372" s="113"/>
      <c r="K1372" s="114"/>
      <c r="L1372" s="149"/>
    </row>
    <row r="1373" spans="1:12" x14ac:dyDescent="0.25">
      <c r="A1373" s="476"/>
      <c r="B1373" s="277" t="s">
        <v>153</v>
      </c>
      <c r="C1373" s="278" t="s">
        <v>1954</v>
      </c>
      <c r="D1373" s="278">
        <v>12</v>
      </c>
      <c r="E1373" s="277">
        <v>58385205</v>
      </c>
      <c r="F1373" s="277"/>
      <c r="G1373" s="112" t="s">
        <v>1956</v>
      </c>
      <c r="H1373" s="278">
        <v>12</v>
      </c>
      <c r="I1373" s="277">
        <v>69546466</v>
      </c>
      <c r="J1373" s="113"/>
      <c r="K1373" s="114"/>
      <c r="L1373" s="149"/>
    </row>
    <row r="1374" spans="1:12" x14ac:dyDescent="0.25">
      <c r="A1374" s="476"/>
      <c r="B1374" s="277" t="s">
        <v>153</v>
      </c>
      <c r="C1374" s="278" t="s">
        <v>1964</v>
      </c>
      <c r="D1374" s="278">
        <v>12</v>
      </c>
      <c r="E1374" s="277">
        <v>58391707</v>
      </c>
      <c r="F1374" s="277"/>
      <c r="G1374" s="112" t="s">
        <v>1956</v>
      </c>
      <c r="H1374" s="278">
        <v>12</v>
      </c>
      <c r="I1374" s="277">
        <v>128497100</v>
      </c>
      <c r="J1374" s="113"/>
      <c r="K1374" s="114"/>
      <c r="L1374" s="149"/>
    </row>
    <row r="1375" spans="1:12" x14ac:dyDescent="0.25">
      <c r="A1375" s="476"/>
      <c r="B1375" s="277" t="s">
        <v>153</v>
      </c>
      <c r="C1375" s="278" t="s">
        <v>1964</v>
      </c>
      <c r="D1375" s="278">
        <v>12</v>
      </c>
      <c r="E1375" s="277">
        <v>58395998</v>
      </c>
      <c r="F1375" s="277"/>
      <c r="G1375" s="112" t="s">
        <v>1956</v>
      </c>
      <c r="H1375" s="278">
        <v>12</v>
      </c>
      <c r="I1375" s="277">
        <v>128067641</v>
      </c>
      <c r="J1375" s="113"/>
      <c r="K1375" s="114"/>
      <c r="L1375" s="149"/>
    </row>
    <row r="1376" spans="1:12" x14ac:dyDescent="0.25">
      <c r="A1376" s="476"/>
      <c r="B1376" s="277" t="s">
        <v>153</v>
      </c>
      <c r="C1376" s="278" t="s">
        <v>1964</v>
      </c>
      <c r="D1376" s="278">
        <v>12</v>
      </c>
      <c r="E1376" s="277">
        <v>58421381</v>
      </c>
      <c r="F1376" s="277"/>
      <c r="G1376" s="112" t="s">
        <v>1956</v>
      </c>
      <c r="H1376" s="278">
        <v>12</v>
      </c>
      <c r="I1376" s="277">
        <v>69589424</v>
      </c>
      <c r="J1376" s="113"/>
      <c r="K1376" s="114"/>
      <c r="L1376" s="149"/>
    </row>
    <row r="1377" spans="1:12" x14ac:dyDescent="0.25">
      <c r="A1377" s="476"/>
      <c r="B1377" s="277" t="s">
        <v>153</v>
      </c>
      <c r="C1377" s="278" t="s">
        <v>1960</v>
      </c>
      <c r="D1377" s="278">
        <v>12</v>
      </c>
      <c r="E1377" s="277">
        <v>58423920</v>
      </c>
      <c r="F1377" s="277"/>
      <c r="G1377" s="112" t="s">
        <v>1956</v>
      </c>
      <c r="H1377" s="278">
        <v>12</v>
      </c>
      <c r="I1377" s="277">
        <v>71197038</v>
      </c>
      <c r="J1377" s="113"/>
      <c r="K1377" s="114"/>
      <c r="L1377" s="149"/>
    </row>
    <row r="1378" spans="1:12" x14ac:dyDescent="0.25">
      <c r="A1378" s="476"/>
      <c r="B1378" s="277" t="s">
        <v>153</v>
      </c>
      <c r="C1378" s="278" t="s">
        <v>1964</v>
      </c>
      <c r="D1378" s="278">
        <v>12</v>
      </c>
      <c r="E1378" s="277">
        <v>58426086</v>
      </c>
      <c r="F1378" s="277"/>
      <c r="G1378" s="112" t="s">
        <v>1956</v>
      </c>
      <c r="H1378" s="278">
        <v>12</v>
      </c>
      <c r="I1378" s="277">
        <v>69272147</v>
      </c>
      <c r="J1378" s="113"/>
      <c r="K1378" s="114"/>
      <c r="L1378" s="149"/>
    </row>
    <row r="1379" spans="1:12" x14ac:dyDescent="0.25">
      <c r="A1379" s="476"/>
      <c r="B1379" s="277" t="s">
        <v>153</v>
      </c>
      <c r="C1379" s="278" t="s">
        <v>1964</v>
      </c>
      <c r="D1379" s="278">
        <v>12</v>
      </c>
      <c r="E1379" s="277">
        <v>58426104</v>
      </c>
      <c r="F1379" s="277"/>
      <c r="G1379" s="112" t="s">
        <v>1956</v>
      </c>
      <c r="H1379" s="278">
        <v>12</v>
      </c>
      <c r="I1379" s="277">
        <v>70068155</v>
      </c>
      <c r="J1379" s="113"/>
      <c r="K1379" s="114"/>
      <c r="L1379" s="149"/>
    </row>
    <row r="1380" spans="1:12" x14ac:dyDescent="0.25">
      <c r="A1380" s="476"/>
      <c r="B1380" s="277" t="s">
        <v>153</v>
      </c>
      <c r="C1380" s="278" t="s">
        <v>1964</v>
      </c>
      <c r="D1380" s="278">
        <v>12</v>
      </c>
      <c r="E1380" s="277">
        <v>58427086</v>
      </c>
      <c r="F1380" s="277"/>
      <c r="G1380" s="112" t="s">
        <v>1956</v>
      </c>
      <c r="H1380" s="278">
        <v>12</v>
      </c>
      <c r="I1380" s="277">
        <v>71188127</v>
      </c>
      <c r="J1380" s="113"/>
      <c r="K1380" s="114"/>
      <c r="L1380" s="149"/>
    </row>
    <row r="1381" spans="1:12" x14ac:dyDescent="0.25">
      <c r="A1381" s="476"/>
      <c r="B1381" s="277" t="s">
        <v>153</v>
      </c>
      <c r="C1381" s="278" t="s">
        <v>1964</v>
      </c>
      <c r="D1381" s="278">
        <v>12</v>
      </c>
      <c r="E1381" s="277">
        <v>58442200</v>
      </c>
      <c r="F1381" s="277"/>
      <c r="G1381" s="112" t="s">
        <v>1956</v>
      </c>
      <c r="H1381" s="278">
        <v>12</v>
      </c>
      <c r="I1381" s="277">
        <v>70198461</v>
      </c>
      <c r="J1381" s="113"/>
      <c r="K1381" s="114"/>
      <c r="L1381" s="149"/>
    </row>
    <row r="1382" spans="1:12" x14ac:dyDescent="0.25">
      <c r="A1382" s="476"/>
      <c r="B1382" s="277" t="s">
        <v>153</v>
      </c>
      <c r="C1382" s="278" t="s">
        <v>1964</v>
      </c>
      <c r="D1382" s="278">
        <v>12</v>
      </c>
      <c r="E1382" s="277">
        <v>58444275</v>
      </c>
      <c r="F1382" s="277"/>
      <c r="G1382" s="112" t="s">
        <v>1956</v>
      </c>
      <c r="H1382" s="278">
        <v>12</v>
      </c>
      <c r="I1382" s="277">
        <v>59200856</v>
      </c>
      <c r="J1382" s="113"/>
      <c r="K1382" s="114"/>
      <c r="L1382" s="149"/>
    </row>
    <row r="1383" spans="1:12" x14ac:dyDescent="0.25">
      <c r="A1383" s="476"/>
      <c r="B1383" s="277" t="s">
        <v>153</v>
      </c>
      <c r="C1383" s="278" t="s">
        <v>1964</v>
      </c>
      <c r="D1383" s="278">
        <v>12</v>
      </c>
      <c r="E1383" s="277">
        <v>58460873</v>
      </c>
      <c r="F1383" s="277"/>
      <c r="G1383" s="112" t="s">
        <v>1956</v>
      </c>
      <c r="H1383" s="278">
        <v>12</v>
      </c>
      <c r="I1383" s="277">
        <v>70234155</v>
      </c>
      <c r="J1383" s="113"/>
      <c r="K1383" s="114"/>
      <c r="L1383" s="149"/>
    </row>
    <row r="1384" spans="1:12" x14ac:dyDescent="0.25">
      <c r="A1384" s="476"/>
      <c r="B1384" s="277" t="s">
        <v>153</v>
      </c>
      <c r="C1384" s="278" t="s">
        <v>1964</v>
      </c>
      <c r="D1384" s="278">
        <v>12</v>
      </c>
      <c r="E1384" s="277">
        <v>58464190</v>
      </c>
      <c r="F1384" s="277"/>
      <c r="G1384" s="112" t="s">
        <v>1956</v>
      </c>
      <c r="H1384" s="278">
        <v>12</v>
      </c>
      <c r="I1384" s="277">
        <v>70315517</v>
      </c>
      <c r="J1384" s="113"/>
      <c r="K1384" s="114"/>
      <c r="L1384" s="149"/>
    </row>
    <row r="1385" spans="1:12" x14ac:dyDescent="0.25">
      <c r="A1385" s="476"/>
      <c r="B1385" s="277" t="s">
        <v>153</v>
      </c>
      <c r="C1385" s="278" t="s">
        <v>1954</v>
      </c>
      <c r="D1385" s="278">
        <v>12</v>
      </c>
      <c r="E1385" s="277">
        <v>58480037</v>
      </c>
      <c r="F1385" s="277"/>
      <c r="G1385" s="112" t="s">
        <v>1956</v>
      </c>
      <c r="H1385" s="278">
        <v>12</v>
      </c>
      <c r="I1385" s="277">
        <v>69722659</v>
      </c>
      <c r="J1385" s="113"/>
      <c r="K1385" s="114"/>
      <c r="L1385" s="149"/>
    </row>
    <row r="1386" spans="1:12" x14ac:dyDescent="0.25">
      <c r="A1386" s="476"/>
      <c r="B1386" s="277" t="s">
        <v>153</v>
      </c>
      <c r="C1386" s="278" t="s">
        <v>1960</v>
      </c>
      <c r="D1386" s="278">
        <v>12</v>
      </c>
      <c r="E1386" s="277">
        <v>58517129</v>
      </c>
      <c r="F1386" s="277"/>
      <c r="G1386" s="112" t="s">
        <v>1956</v>
      </c>
      <c r="H1386" s="278">
        <v>12</v>
      </c>
      <c r="I1386" s="277">
        <v>59219048</v>
      </c>
      <c r="J1386" s="113"/>
      <c r="K1386" s="114"/>
      <c r="L1386" s="149"/>
    </row>
    <row r="1387" spans="1:12" x14ac:dyDescent="0.25">
      <c r="A1387" s="476"/>
      <c r="B1387" s="277" t="s">
        <v>153</v>
      </c>
      <c r="C1387" s="278" t="s">
        <v>1954</v>
      </c>
      <c r="D1387" s="278">
        <v>12</v>
      </c>
      <c r="E1387" s="277">
        <v>58530452</v>
      </c>
      <c r="F1387" s="277"/>
      <c r="G1387" s="112" t="s">
        <v>1956</v>
      </c>
      <c r="H1387" s="278">
        <v>12</v>
      </c>
      <c r="I1387" s="277">
        <v>69678537</v>
      </c>
      <c r="J1387" s="113"/>
      <c r="K1387" s="114"/>
      <c r="L1387" s="149"/>
    </row>
    <row r="1388" spans="1:12" x14ac:dyDescent="0.25">
      <c r="A1388" s="476"/>
      <c r="B1388" s="277" t="s">
        <v>153</v>
      </c>
      <c r="C1388" s="278" t="s">
        <v>1954</v>
      </c>
      <c r="D1388" s="278">
        <v>12</v>
      </c>
      <c r="E1388" s="277">
        <v>58534288</v>
      </c>
      <c r="F1388" s="277"/>
      <c r="G1388" s="112" t="s">
        <v>1956</v>
      </c>
      <c r="H1388" s="278">
        <v>12</v>
      </c>
      <c r="I1388" s="277">
        <v>128531639</v>
      </c>
      <c r="J1388" s="113"/>
      <c r="K1388" s="114"/>
      <c r="L1388" s="149"/>
    </row>
    <row r="1389" spans="1:12" x14ac:dyDescent="0.25">
      <c r="A1389" s="476"/>
      <c r="B1389" s="277" t="s">
        <v>153</v>
      </c>
      <c r="C1389" s="278" t="s">
        <v>1964</v>
      </c>
      <c r="D1389" s="278">
        <v>12</v>
      </c>
      <c r="E1389" s="277">
        <v>58534312</v>
      </c>
      <c r="F1389" s="277"/>
      <c r="G1389" s="112" t="s">
        <v>1956</v>
      </c>
      <c r="H1389" s="278">
        <v>12</v>
      </c>
      <c r="I1389" s="277">
        <v>69425591</v>
      </c>
      <c r="J1389" s="113"/>
      <c r="K1389" s="114"/>
      <c r="L1389" s="149"/>
    </row>
    <row r="1390" spans="1:12" x14ac:dyDescent="0.25">
      <c r="A1390" s="476"/>
      <c r="B1390" s="277" t="s">
        <v>153</v>
      </c>
      <c r="C1390" s="278" t="s">
        <v>1964</v>
      </c>
      <c r="D1390" s="278">
        <v>12</v>
      </c>
      <c r="E1390" s="277">
        <v>58557802</v>
      </c>
      <c r="F1390" s="277"/>
      <c r="G1390" s="112" t="s">
        <v>1956</v>
      </c>
      <c r="H1390" s="278">
        <v>12</v>
      </c>
      <c r="I1390" s="277">
        <v>128146090</v>
      </c>
      <c r="J1390" s="113"/>
      <c r="K1390" s="114"/>
      <c r="L1390" s="149"/>
    </row>
    <row r="1391" spans="1:12" x14ac:dyDescent="0.25">
      <c r="A1391" s="476"/>
      <c r="B1391" s="277" t="s">
        <v>153</v>
      </c>
      <c r="C1391" s="278" t="s">
        <v>1960</v>
      </c>
      <c r="D1391" s="278">
        <v>12</v>
      </c>
      <c r="E1391" s="277">
        <v>58558951</v>
      </c>
      <c r="F1391" s="277"/>
      <c r="G1391" s="112" t="s">
        <v>1956</v>
      </c>
      <c r="H1391" s="278">
        <v>12</v>
      </c>
      <c r="I1391" s="277">
        <v>69692320</v>
      </c>
      <c r="J1391" s="113"/>
      <c r="K1391" s="114"/>
      <c r="L1391" s="149"/>
    </row>
    <row r="1392" spans="1:12" x14ac:dyDescent="0.25">
      <c r="A1392" s="476"/>
      <c r="B1392" s="277" t="s">
        <v>153</v>
      </c>
      <c r="C1392" s="278" t="s">
        <v>1960</v>
      </c>
      <c r="D1392" s="278">
        <v>12</v>
      </c>
      <c r="E1392" s="277">
        <v>58576542</v>
      </c>
      <c r="F1392" s="277"/>
      <c r="G1392" s="112" t="s">
        <v>1956</v>
      </c>
      <c r="H1392" s="278">
        <v>12</v>
      </c>
      <c r="I1392" s="277">
        <v>69472282</v>
      </c>
      <c r="J1392" s="113"/>
      <c r="K1392" s="114"/>
      <c r="L1392" s="149"/>
    </row>
    <row r="1393" spans="1:12" x14ac:dyDescent="0.25">
      <c r="A1393" s="476"/>
      <c r="B1393" s="277" t="s">
        <v>153</v>
      </c>
      <c r="C1393" s="278" t="s">
        <v>1964</v>
      </c>
      <c r="D1393" s="278">
        <v>12</v>
      </c>
      <c r="E1393" s="277">
        <v>58579155</v>
      </c>
      <c r="F1393" s="277"/>
      <c r="G1393" s="112" t="s">
        <v>1956</v>
      </c>
      <c r="H1393" s="278">
        <v>12</v>
      </c>
      <c r="I1393" s="277">
        <v>69444552</v>
      </c>
      <c r="J1393" s="113"/>
      <c r="K1393" s="114"/>
      <c r="L1393" s="149"/>
    </row>
    <row r="1394" spans="1:12" x14ac:dyDescent="0.25">
      <c r="A1394" s="476"/>
      <c r="B1394" s="277" t="s">
        <v>153</v>
      </c>
      <c r="C1394" s="278" t="s">
        <v>1960</v>
      </c>
      <c r="D1394" s="278">
        <v>12</v>
      </c>
      <c r="E1394" s="277">
        <v>58629898</v>
      </c>
      <c r="F1394" s="277"/>
      <c r="G1394" s="112" t="s">
        <v>1956</v>
      </c>
      <c r="H1394" s="278">
        <v>12</v>
      </c>
      <c r="I1394" s="277">
        <v>69097340</v>
      </c>
      <c r="J1394" s="113"/>
      <c r="K1394" s="114"/>
      <c r="L1394" s="149"/>
    </row>
    <row r="1395" spans="1:12" x14ac:dyDescent="0.25">
      <c r="A1395" s="476"/>
      <c r="B1395" s="277" t="s">
        <v>153</v>
      </c>
      <c r="C1395" s="278" t="s">
        <v>1964</v>
      </c>
      <c r="D1395" s="278">
        <v>12</v>
      </c>
      <c r="E1395" s="277">
        <v>58642177</v>
      </c>
      <c r="F1395" s="277"/>
      <c r="G1395" s="112" t="s">
        <v>1956</v>
      </c>
      <c r="H1395" s="278">
        <v>12</v>
      </c>
      <c r="I1395" s="277">
        <v>59194824</v>
      </c>
      <c r="J1395" s="113"/>
      <c r="K1395" s="114"/>
      <c r="L1395" s="149"/>
    </row>
    <row r="1396" spans="1:12" x14ac:dyDescent="0.25">
      <c r="A1396" s="476"/>
      <c r="B1396" s="277" t="s">
        <v>153</v>
      </c>
      <c r="C1396" s="278" t="s">
        <v>1960</v>
      </c>
      <c r="D1396" s="278">
        <v>12</v>
      </c>
      <c r="E1396" s="277">
        <v>58646893</v>
      </c>
      <c r="F1396" s="277"/>
      <c r="G1396" s="112" t="s">
        <v>1956</v>
      </c>
      <c r="H1396" s="278">
        <v>12</v>
      </c>
      <c r="I1396" s="277">
        <v>69612701</v>
      </c>
      <c r="J1396" s="113"/>
      <c r="K1396" s="114"/>
      <c r="L1396" s="149"/>
    </row>
    <row r="1397" spans="1:12" x14ac:dyDescent="0.25">
      <c r="A1397" s="476"/>
      <c r="B1397" s="277" t="s">
        <v>153</v>
      </c>
      <c r="C1397" s="278" t="s">
        <v>1954</v>
      </c>
      <c r="D1397" s="278">
        <v>12</v>
      </c>
      <c r="E1397" s="277">
        <v>58648642</v>
      </c>
      <c r="F1397" s="277"/>
      <c r="G1397" s="112" t="s">
        <v>1956</v>
      </c>
      <c r="H1397" s="278">
        <v>12</v>
      </c>
      <c r="I1397" s="277">
        <v>128579676</v>
      </c>
      <c r="J1397" s="113"/>
      <c r="K1397" s="114"/>
      <c r="L1397" s="149"/>
    </row>
    <row r="1398" spans="1:12" x14ac:dyDescent="0.25">
      <c r="A1398" s="476"/>
      <c r="B1398" s="277" t="s">
        <v>153</v>
      </c>
      <c r="C1398" s="278" t="s">
        <v>1964</v>
      </c>
      <c r="D1398" s="278">
        <v>12</v>
      </c>
      <c r="E1398" s="277">
        <v>58667975</v>
      </c>
      <c r="F1398" s="277"/>
      <c r="G1398" s="112" t="s">
        <v>1956</v>
      </c>
      <c r="H1398" s="278">
        <v>12</v>
      </c>
      <c r="I1398" s="277">
        <v>59157579</v>
      </c>
      <c r="J1398" s="113"/>
      <c r="K1398" s="114"/>
      <c r="L1398" s="149"/>
    </row>
    <row r="1399" spans="1:12" x14ac:dyDescent="0.25">
      <c r="A1399" s="476"/>
      <c r="B1399" s="277" t="s">
        <v>153</v>
      </c>
      <c r="C1399" s="278" t="s">
        <v>1954</v>
      </c>
      <c r="D1399" s="278">
        <v>12</v>
      </c>
      <c r="E1399" s="277">
        <v>58687973</v>
      </c>
      <c r="F1399" s="277"/>
      <c r="G1399" s="112" t="s">
        <v>1956</v>
      </c>
      <c r="H1399" s="278">
        <v>12</v>
      </c>
      <c r="I1399" s="277">
        <v>70314574</v>
      </c>
      <c r="J1399" s="113"/>
      <c r="K1399" s="114"/>
      <c r="L1399" s="149"/>
    </row>
    <row r="1400" spans="1:12" x14ac:dyDescent="0.25">
      <c r="A1400" s="476"/>
      <c r="B1400" s="277" t="s">
        <v>153</v>
      </c>
      <c r="C1400" s="278" t="s">
        <v>1964</v>
      </c>
      <c r="D1400" s="278">
        <v>12</v>
      </c>
      <c r="E1400" s="277">
        <v>58692898</v>
      </c>
      <c r="F1400" s="277"/>
      <c r="G1400" s="112" t="s">
        <v>1956</v>
      </c>
      <c r="H1400" s="278">
        <v>12</v>
      </c>
      <c r="I1400" s="277">
        <v>128604545</v>
      </c>
      <c r="J1400" s="113"/>
      <c r="K1400" s="114"/>
      <c r="L1400" s="149"/>
    </row>
    <row r="1401" spans="1:12" x14ac:dyDescent="0.25">
      <c r="A1401" s="476"/>
      <c r="B1401" s="277" t="s">
        <v>153</v>
      </c>
      <c r="C1401" s="278" t="s">
        <v>1954</v>
      </c>
      <c r="D1401" s="278">
        <v>12</v>
      </c>
      <c r="E1401" s="277">
        <v>58699455</v>
      </c>
      <c r="F1401" s="277"/>
      <c r="G1401" s="112" t="s">
        <v>1956</v>
      </c>
      <c r="H1401" s="278">
        <v>12</v>
      </c>
      <c r="I1401" s="277">
        <v>69449205</v>
      </c>
      <c r="J1401" s="113"/>
      <c r="K1401" s="114"/>
      <c r="L1401" s="149"/>
    </row>
    <row r="1402" spans="1:12" x14ac:dyDescent="0.25">
      <c r="A1402" s="476"/>
      <c r="B1402" s="277" t="s">
        <v>153</v>
      </c>
      <c r="C1402" s="278" t="s">
        <v>1960</v>
      </c>
      <c r="D1402" s="278">
        <v>12</v>
      </c>
      <c r="E1402" s="277">
        <v>58712422</v>
      </c>
      <c r="F1402" s="277"/>
      <c r="G1402" s="112" t="s">
        <v>1956</v>
      </c>
      <c r="H1402" s="278">
        <v>12</v>
      </c>
      <c r="I1402" s="277">
        <v>59181192</v>
      </c>
      <c r="J1402" s="113"/>
      <c r="K1402" s="114"/>
      <c r="L1402" s="149"/>
    </row>
    <row r="1403" spans="1:12" x14ac:dyDescent="0.25">
      <c r="A1403" s="476"/>
      <c r="B1403" s="277" t="s">
        <v>153</v>
      </c>
      <c r="C1403" s="278" t="s">
        <v>1954</v>
      </c>
      <c r="D1403" s="278">
        <v>12</v>
      </c>
      <c r="E1403" s="277">
        <v>58736330</v>
      </c>
      <c r="F1403" s="277"/>
      <c r="G1403" s="112" t="s">
        <v>1956</v>
      </c>
      <c r="H1403" s="278">
        <v>12</v>
      </c>
      <c r="I1403" s="277">
        <v>69271562</v>
      </c>
      <c r="J1403" s="113"/>
      <c r="K1403" s="114"/>
      <c r="L1403" s="149"/>
    </row>
    <row r="1404" spans="1:12" x14ac:dyDescent="0.25">
      <c r="A1404" s="476"/>
      <c r="B1404" s="277" t="s">
        <v>153</v>
      </c>
      <c r="C1404" s="278" t="s">
        <v>1954</v>
      </c>
      <c r="D1404" s="278">
        <v>12</v>
      </c>
      <c r="E1404" s="277">
        <v>58736743</v>
      </c>
      <c r="F1404" s="277"/>
      <c r="G1404" s="112" t="s">
        <v>1956</v>
      </c>
      <c r="H1404" s="278">
        <v>12</v>
      </c>
      <c r="I1404" s="277">
        <v>70462856</v>
      </c>
      <c r="J1404" s="113"/>
      <c r="K1404" s="114"/>
      <c r="L1404" s="149"/>
    </row>
    <row r="1405" spans="1:12" x14ac:dyDescent="0.25">
      <c r="A1405" s="476"/>
      <c r="B1405" s="277" t="s">
        <v>153</v>
      </c>
      <c r="C1405" s="278" t="s">
        <v>1964</v>
      </c>
      <c r="D1405" s="278">
        <v>12</v>
      </c>
      <c r="E1405" s="277">
        <v>58736778</v>
      </c>
      <c r="F1405" s="277"/>
      <c r="G1405" s="112" t="s">
        <v>1956</v>
      </c>
      <c r="H1405" s="278">
        <v>12</v>
      </c>
      <c r="I1405" s="277">
        <v>128608111</v>
      </c>
      <c r="J1405" s="113"/>
      <c r="K1405" s="114"/>
      <c r="L1405" s="149"/>
    </row>
    <row r="1406" spans="1:12" x14ac:dyDescent="0.25">
      <c r="A1406" s="476"/>
      <c r="B1406" s="277" t="s">
        <v>153</v>
      </c>
      <c r="C1406" s="278" t="s">
        <v>1964</v>
      </c>
      <c r="D1406" s="278">
        <v>12</v>
      </c>
      <c r="E1406" s="277">
        <v>58737062</v>
      </c>
      <c r="F1406" s="277"/>
      <c r="G1406" s="112" t="s">
        <v>1956</v>
      </c>
      <c r="H1406" s="278">
        <v>12</v>
      </c>
      <c r="I1406" s="277">
        <v>69719669</v>
      </c>
      <c r="J1406" s="113"/>
      <c r="K1406" s="114"/>
      <c r="L1406" s="149"/>
    </row>
    <row r="1407" spans="1:12" x14ac:dyDescent="0.25">
      <c r="A1407" s="476"/>
      <c r="B1407" s="277" t="s">
        <v>153</v>
      </c>
      <c r="C1407" s="278" t="s">
        <v>1964</v>
      </c>
      <c r="D1407" s="278">
        <v>12</v>
      </c>
      <c r="E1407" s="277">
        <v>58803195</v>
      </c>
      <c r="F1407" s="277"/>
      <c r="G1407" s="112" t="s">
        <v>1956</v>
      </c>
      <c r="H1407" s="278">
        <v>12</v>
      </c>
      <c r="I1407" s="277">
        <v>69636534</v>
      </c>
      <c r="J1407" s="113"/>
      <c r="K1407" s="114"/>
      <c r="L1407" s="149"/>
    </row>
    <row r="1408" spans="1:12" x14ac:dyDescent="0.25">
      <c r="A1408" s="476"/>
      <c r="B1408" s="277" t="s">
        <v>153</v>
      </c>
      <c r="C1408" s="278" t="s">
        <v>1964</v>
      </c>
      <c r="D1408" s="278">
        <v>12</v>
      </c>
      <c r="E1408" s="277">
        <v>58830502</v>
      </c>
      <c r="F1408" s="277"/>
      <c r="G1408" s="112" t="s">
        <v>1956</v>
      </c>
      <c r="H1408" s="278">
        <v>12</v>
      </c>
      <c r="I1408" s="277">
        <v>69650252</v>
      </c>
      <c r="J1408" s="113"/>
      <c r="K1408" s="114"/>
      <c r="L1408" s="149"/>
    </row>
    <row r="1409" spans="1:12" x14ac:dyDescent="0.25">
      <c r="A1409" s="476"/>
      <c r="B1409" s="277" t="s">
        <v>153</v>
      </c>
      <c r="C1409" s="278" t="s">
        <v>1964</v>
      </c>
      <c r="D1409" s="278">
        <v>12</v>
      </c>
      <c r="E1409" s="277">
        <v>58881257</v>
      </c>
      <c r="F1409" s="277"/>
      <c r="G1409" s="112" t="s">
        <v>1956</v>
      </c>
      <c r="H1409" s="278">
        <v>12</v>
      </c>
      <c r="I1409" s="277">
        <v>69967985</v>
      </c>
      <c r="J1409" s="113"/>
      <c r="K1409" s="114"/>
      <c r="L1409" s="149"/>
    </row>
    <row r="1410" spans="1:12" x14ac:dyDescent="0.25">
      <c r="A1410" s="476"/>
      <c r="B1410" s="277" t="s">
        <v>153</v>
      </c>
      <c r="C1410" s="278" t="s">
        <v>1954</v>
      </c>
      <c r="D1410" s="278">
        <v>12</v>
      </c>
      <c r="E1410" s="277">
        <v>58888913</v>
      </c>
      <c r="F1410" s="277"/>
      <c r="G1410" s="112" t="s">
        <v>1956</v>
      </c>
      <c r="H1410" s="278">
        <v>12</v>
      </c>
      <c r="I1410" s="277">
        <v>128029373</v>
      </c>
      <c r="J1410" s="113"/>
      <c r="K1410" s="114"/>
      <c r="L1410" s="149"/>
    </row>
    <row r="1411" spans="1:12" x14ac:dyDescent="0.25">
      <c r="A1411" s="476"/>
      <c r="B1411" s="277" t="s">
        <v>153</v>
      </c>
      <c r="C1411" s="278" t="s">
        <v>1954</v>
      </c>
      <c r="D1411" s="278">
        <v>12</v>
      </c>
      <c r="E1411" s="277">
        <v>58888945</v>
      </c>
      <c r="F1411" s="277"/>
      <c r="G1411" s="112" t="s">
        <v>1956</v>
      </c>
      <c r="H1411" s="278">
        <v>12</v>
      </c>
      <c r="I1411" s="277">
        <v>68696431</v>
      </c>
      <c r="J1411" s="113"/>
      <c r="K1411" s="114"/>
      <c r="L1411" s="149"/>
    </row>
    <row r="1412" spans="1:12" x14ac:dyDescent="0.25">
      <c r="A1412" s="476"/>
      <c r="B1412" s="277" t="s">
        <v>153</v>
      </c>
      <c r="C1412" s="278" t="s">
        <v>1954</v>
      </c>
      <c r="D1412" s="278">
        <v>12</v>
      </c>
      <c r="E1412" s="277">
        <v>58888959</v>
      </c>
      <c r="F1412" s="277"/>
      <c r="G1412" s="112" t="s">
        <v>1956</v>
      </c>
      <c r="H1412" s="278">
        <v>12</v>
      </c>
      <c r="I1412" s="277">
        <v>68763694</v>
      </c>
      <c r="J1412" s="113"/>
      <c r="K1412" s="114"/>
      <c r="L1412" s="149"/>
    </row>
    <row r="1413" spans="1:12" x14ac:dyDescent="0.25">
      <c r="A1413" s="476"/>
      <c r="B1413" s="277" t="s">
        <v>153</v>
      </c>
      <c r="C1413" s="278" t="s">
        <v>1964</v>
      </c>
      <c r="D1413" s="278">
        <v>12</v>
      </c>
      <c r="E1413" s="277">
        <v>58888966</v>
      </c>
      <c r="F1413" s="277"/>
      <c r="G1413" s="112" t="s">
        <v>1956</v>
      </c>
      <c r="H1413" s="278">
        <v>12</v>
      </c>
      <c r="I1413" s="277">
        <v>69846549</v>
      </c>
      <c r="J1413" s="113"/>
      <c r="K1413" s="114"/>
      <c r="L1413" s="149"/>
    </row>
    <row r="1414" spans="1:12" x14ac:dyDescent="0.25">
      <c r="A1414" s="476"/>
      <c r="B1414" s="277" t="s">
        <v>153</v>
      </c>
      <c r="C1414" s="278" t="s">
        <v>1954</v>
      </c>
      <c r="D1414" s="278">
        <v>12</v>
      </c>
      <c r="E1414" s="277">
        <v>58900618</v>
      </c>
      <c r="F1414" s="277"/>
      <c r="G1414" s="112" t="s">
        <v>1956</v>
      </c>
      <c r="H1414" s="278">
        <v>12</v>
      </c>
      <c r="I1414" s="277">
        <v>70135562</v>
      </c>
      <c r="J1414" s="113"/>
      <c r="K1414" s="114"/>
      <c r="L1414" s="149"/>
    </row>
    <row r="1415" spans="1:12" x14ac:dyDescent="0.25">
      <c r="A1415" s="476"/>
      <c r="B1415" s="277" t="s">
        <v>153</v>
      </c>
      <c r="C1415" s="278" t="s">
        <v>1954</v>
      </c>
      <c r="D1415" s="278">
        <v>12</v>
      </c>
      <c r="E1415" s="277">
        <v>58900833</v>
      </c>
      <c r="F1415" s="277"/>
      <c r="G1415" s="112" t="s">
        <v>1956</v>
      </c>
      <c r="H1415" s="278">
        <v>12</v>
      </c>
      <c r="I1415" s="277">
        <v>69795869</v>
      </c>
      <c r="J1415" s="113"/>
      <c r="K1415" s="114"/>
      <c r="L1415" s="149"/>
    </row>
    <row r="1416" spans="1:12" x14ac:dyDescent="0.25">
      <c r="A1416" s="476"/>
      <c r="B1416" s="277" t="s">
        <v>153</v>
      </c>
      <c r="C1416" s="278" t="s">
        <v>1960</v>
      </c>
      <c r="D1416" s="278">
        <v>12</v>
      </c>
      <c r="E1416" s="277">
        <v>58900981</v>
      </c>
      <c r="F1416" s="277"/>
      <c r="G1416" s="112" t="s">
        <v>1956</v>
      </c>
      <c r="H1416" s="278">
        <v>12</v>
      </c>
      <c r="I1416" s="277">
        <v>69795503</v>
      </c>
      <c r="J1416" s="113"/>
      <c r="K1416" s="114"/>
      <c r="L1416" s="149"/>
    </row>
    <row r="1417" spans="1:12" x14ac:dyDescent="0.25">
      <c r="A1417" s="476"/>
      <c r="B1417" s="277" t="s">
        <v>153</v>
      </c>
      <c r="C1417" s="278" t="s">
        <v>1954</v>
      </c>
      <c r="D1417" s="278">
        <v>12</v>
      </c>
      <c r="E1417" s="277">
        <v>58909119</v>
      </c>
      <c r="F1417" s="277"/>
      <c r="G1417" s="112" t="s">
        <v>1956</v>
      </c>
      <c r="H1417" s="278">
        <v>12</v>
      </c>
      <c r="I1417" s="277">
        <v>69151863</v>
      </c>
      <c r="J1417" s="113"/>
      <c r="K1417" s="114"/>
      <c r="L1417" s="149"/>
    </row>
    <row r="1418" spans="1:12" x14ac:dyDescent="0.25">
      <c r="A1418" s="476"/>
      <c r="B1418" s="277" t="s">
        <v>153</v>
      </c>
      <c r="C1418" s="278" t="s">
        <v>1964</v>
      </c>
      <c r="D1418" s="278">
        <v>12</v>
      </c>
      <c r="E1418" s="277">
        <v>58910728</v>
      </c>
      <c r="F1418" s="277"/>
      <c r="G1418" s="112" t="s">
        <v>1956</v>
      </c>
      <c r="H1418" s="278">
        <v>12</v>
      </c>
      <c r="I1418" s="277">
        <v>69473426</v>
      </c>
      <c r="J1418" s="113"/>
      <c r="K1418" s="114"/>
      <c r="L1418" s="149"/>
    </row>
    <row r="1419" spans="1:12" x14ac:dyDescent="0.25">
      <c r="A1419" s="476"/>
      <c r="B1419" s="277" t="s">
        <v>153</v>
      </c>
      <c r="C1419" s="278" t="s">
        <v>1960</v>
      </c>
      <c r="D1419" s="278">
        <v>12</v>
      </c>
      <c r="E1419" s="277">
        <v>58911071</v>
      </c>
      <c r="F1419" s="277"/>
      <c r="G1419" s="112" t="s">
        <v>1956</v>
      </c>
      <c r="H1419" s="278">
        <v>12</v>
      </c>
      <c r="I1419" s="277">
        <v>71187022</v>
      </c>
      <c r="J1419" s="113"/>
      <c r="K1419" s="114"/>
      <c r="L1419" s="149"/>
    </row>
    <row r="1420" spans="1:12" x14ac:dyDescent="0.25">
      <c r="A1420" s="476"/>
      <c r="B1420" s="277" t="s">
        <v>153</v>
      </c>
      <c r="C1420" s="278" t="s">
        <v>1954</v>
      </c>
      <c r="D1420" s="278">
        <v>12</v>
      </c>
      <c r="E1420" s="277">
        <v>58946808</v>
      </c>
      <c r="F1420" s="277"/>
      <c r="G1420" s="112" t="s">
        <v>1956</v>
      </c>
      <c r="H1420" s="278">
        <v>12</v>
      </c>
      <c r="I1420" s="277">
        <v>69721623</v>
      </c>
      <c r="J1420" s="113"/>
      <c r="K1420" s="114"/>
      <c r="L1420" s="149"/>
    </row>
    <row r="1421" spans="1:12" x14ac:dyDescent="0.25">
      <c r="A1421" s="476"/>
      <c r="B1421" s="277" t="s">
        <v>153</v>
      </c>
      <c r="C1421" s="278" t="s">
        <v>1960</v>
      </c>
      <c r="D1421" s="278">
        <v>12</v>
      </c>
      <c r="E1421" s="277">
        <v>58964640</v>
      </c>
      <c r="F1421" s="277"/>
      <c r="G1421" s="112" t="s">
        <v>1956</v>
      </c>
      <c r="H1421" s="278">
        <v>12</v>
      </c>
      <c r="I1421" s="277">
        <v>69755119</v>
      </c>
      <c r="J1421" s="113"/>
      <c r="K1421" s="114"/>
      <c r="L1421" s="149"/>
    </row>
    <row r="1422" spans="1:12" x14ac:dyDescent="0.25">
      <c r="A1422" s="476"/>
      <c r="B1422" s="277" t="s">
        <v>153</v>
      </c>
      <c r="C1422" s="278" t="s">
        <v>1964</v>
      </c>
      <c r="D1422" s="278">
        <v>12</v>
      </c>
      <c r="E1422" s="277">
        <v>58968949</v>
      </c>
      <c r="F1422" s="277"/>
      <c r="G1422" s="112" t="s">
        <v>1956</v>
      </c>
      <c r="H1422" s="278">
        <v>12</v>
      </c>
      <c r="I1422" s="277">
        <v>128347557</v>
      </c>
      <c r="J1422" s="113"/>
      <c r="K1422" s="114"/>
      <c r="L1422" s="149"/>
    </row>
    <row r="1423" spans="1:12" x14ac:dyDescent="0.25">
      <c r="A1423" s="476"/>
      <c r="B1423" s="277" t="s">
        <v>153</v>
      </c>
      <c r="C1423" s="278" t="s">
        <v>1964</v>
      </c>
      <c r="D1423" s="278">
        <v>12</v>
      </c>
      <c r="E1423" s="277">
        <v>58971796</v>
      </c>
      <c r="F1423" s="277"/>
      <c r="G1423" s="112" t="s">
        <v>1956</v>
      </c>
      <c r="H1423" s="278">
        <v>12</v>
      </c>
      <c r="I1423" s="277">
        <v>69755191</v>
      </c>
      <c r="J1423" s="113"/>
      <c r="K1423" s="114"/>
      <c r="L1423" s="149"/>
    </row>
    <row r="1424" spans="1:12" x14ac:dyDescent="0.25">
      <c r="A1424" s="476"/>
      <c r="B1424" s="277" t="s">
        <v>153</v>
      </c>
      <c r="C1424" s="278" t="s">
        <v>1964</v>
      </c>
      <c r="D1424" s="278">
        <v>12</v>
      </c>
      <c r="E1424" s="277">
        <v>58981953</v>
      </c>
      <c r="F1424" s="277"/>
      <c r="G1424" s="112" t="s">
        <v>1956</v>
      </c>
      <c r="H1424" s="278">
        <v>12</v>
      </c>
      <c r="I1424" s="277">
        <v>59273578</v>
      </c>
      <c r="J1424" s="113"/>
      <c r="K1424" s="114"/>
      <c r="L1424" s="149"/>
    </row>
    <row r="1425" spans="1:12" x14ac:dyDescent="0.25">
      <c r="A1425" s="476"/>
      <c r="B1425" s="277" t="s">
        <v>153</v>
      </c>
      <c r="C1425" s="278" t="s">
        <v>1954</v>
      </c>
      <c r="D1425" s="278">
        <v>12</v>
      </c>
      <c r="E1425" s="277">
        <v>59001071</v>
      </c>
      <c r="F1425" s="277"/>
      <c r="G1425" s="112" t="s">
        <v>1956</v>
      </c>
      <c r="H1425" s="278">
        <v>12</v>
      </c>
      <c r="I1425" s="277">
        <v>69377776</v>
      </c>
      <c r="J1425" s="113"/>
      <c r="K1425" s="114"/>
      <c r="L1425" s="149"/>
    </row>
    <row r="1426" spans="1:12" x14ac:dyDescent="0.25">
      <c r="A1426" s="476"/>
      <c r="B1426" s="277" t="s">
        <v>153</v>
      </c>
      <c r="C1426" s="278" t="s">
        <v>1964</v>
      </c>
      <c r="D1426" s="278">
        <v>12</v>
      </c>
      <c r="E1426" s="277">
        <v>59006960</v>
      </c>
      <c r="F1426" s="277"/>
      <c r="G1426" s="112" t="s">
        <v>1956</v>
      </c>
      <c r="H1426" s="278">
        <v>12</v>
      </c>
      <c r="I1426" s="277">
        <v>71232591</v>
      </c>
      <c r="J1426" s="113"/>
      <c r="K1426" s="114"/>
      <c r="L1426" s="149"/>
    </row>
    <row r="1427" spans="1:12" x14ac:dyDescent="0.25">
      <c r="A1427" s="476"/>
      <c r="B1427" s="277" t="s">
        <v>153</v>
      </c>
      <c r="C1427" s="278" t="s">
        <v>1964</v>
      </c>
      <c r="D1427" s="278">
        <v>12</v>
      </c>
      <c r="E1427" s="277">
        <v>59007075</v>
      </c>
      <c r="F1427" s="277"/>
      <c r="G1427" s="112" t="s">
        <v>1956</v>
      </c>
      <c r="H1427" s="278">
        <v>12</v>
      </c>
      <c r="I1427" s="277">
        <v>128438699</v>
      </c>
      <c r="J1427" s="113"/>
      <c r="K1427" s="114"/>
      <c r="L1427" s="149"/>
    </row>
    <row r="1428" spans="1:12" x14ac:dyDescent="0.25">
      <c r="A1428" s="476"/>
      <c r="B1428" s="277" t="s">
        <v>153</v>
      </c>
      <c r="C1428" s="278" t="s">
        <v>1960</v>
      </c>
      <c r="D1428" s="278">
        <v>12</v>
      </c>
      <c r="E1428" s="277">
        <v>59008012</v>
      </c>
      <c r="F1428" s="277"/>
      <c r="G1428" s="112" t="s">
        <v>1956</v>
      </c>
      <c r="H1428" s="278">
        <v>12</v>
      </c>
      <c r="I1428" s="277">
        <v>128220925</v>
      </c>
      <c r="J1428" s="113"/>
      <c r="K1428" s="114"/>
      <c r="L1428" s="149"/>
    </row>
    <row r="1429" spans="1:12" x14ac:dyDescent="0.25">
      <c r="A1429" s="476"/>
      <c r="B1429" s="277" t="s">
        <v>153</v>
      </c>
      <c r="C1429" s="278" t="s">
        <v>1964</v>
      </c>
      <c r="D1429" s="278">
        <v>12</v>
      </c>
      <c r="E1429" s="277">
        <v>59017923</v>
      </c>
      <c r="F1429" s="277"/>
      <c r="G1429" s="112" t="s">
        <v>1956</v>
      </c>
      <c r="H1429" s="278">
        <v>12</v>
      </c>
      <c r="I1429" s="277">
        <v>69987814</v>
      </c>
      <c r="J1429" s="113"/>
      <c r="K1429" s="114"/>
      <c r="L1429" s="149"/>
    </row>
    <row r="1430" spans="1:12" x14ac:dyDescent="0.25">
      <c r="A1430" s="476"/>
      <c r="B1430" s="277" t="s">
        <v>153</v>
      </c>
      <c r="C1430" s="278" t="s">
        <v>1954</v>
      </c>
      <c r="D1430" s="278">
        <v>12</v>
      </c>
      <c r="E1430" s="277">
        <v>59021122</v>
      </c>
      <c r="F1430" s="277"/>
      <c r="G1430" s="112" t="s">
        <v>1956</v>
      </c>
      <c r="H1430" s="278">
        <v>12</v>
      </c>
      <c r="I1430" s="277">
        <v>69621638</v>
      </c>
      <c r="J1430" s="113"/>
      <c r="K1430" s="114"/>
      <c r="L1430" s="149"/>
    </row>
    <row r="1431" spans="1:12" x14ac:dyDescent="0.25">
      <c r="A1431" s="476"/>
      <c r="B1431" s="277" t="s">
        <v>153</v>
      </c>
      <c r="C1431" s="278" t="s">
        <v>1964</v>
      </c>
      <c r="D1431" s="278">
        <v>12</v>
      </c>
      <c r="E1431" s="277">
        <v>59022333</v>
      </c>
      <c r="F1431" s="277"/>
      <c r="G1431" s="112" t="s">
        <v>1956</v>
      </c>
      <c r="H1431" s="278">
        <v>12</v>
      </c>
      <c r="I1431" s="277">
        <v>128081814</v>
      </c>
      <c r="J1431" s="113"/>
      <c r="K1431" s="114"/>
      <c r="L1431" s="149"/>
    </row>
    <row r="1432" spans="1:12" x14ac:dyDescent="0.25">
      <c r="A1432" s="476"/>
      <c r="B1432" s="277" t="s">
        <v>153</v>
      </c>
      <c r="C1432" s="278" t="s">
        <v>1954</v>
      </c>
      <c r="D1432" s="278">
        <v>12</v>
      </c>
      <c r="E1432" s="277">
        <v>59023098</v>
      </c>
      <c r="F1432" s="277"/>
      <c r="G1432" s="112" t="s">
        <v>1956</v>
      </c>
      <c r="H1432" s="278">
        <v>12</v>
      </c>
      <c r="I1432" s="277">
        <v>71187327</v>
      </c>
      <c r="J1432" s="113"/>
      <c r="K1432" s="114"/>
      <c r="L1432" s="149"/>
    </row>
    <row r="1433" spans="1:12" x14ac:dyDescent="0.25">
      <c r="A1433" s="476"/>
      <c r="B1433" s="277" t="s">
        <v>153</v>
      </c>
      <c r="C1433" s="278" t="s">
        <v>1964</v>
      </c>
      <c r="D1433" s="278">
        <v>12</v>
      </c>
      <c r="E1433" s="277">
        <v>59023241</v>
      </c>
      <c r="F1433" s="277"/>
      <c r="G1433" s="112" t="s">
        <v>1956</v>
      </c>
      <c r="H1433" s="278">
        <v>12</v>
      </c>
      <c r="I1433" s="277">
        <v>128337567</v>
      </c>
      <c r="J1433" s="113"/>
      <c r="K1433" s="114"/>
      <c r="L1433" s="149"/>
    </row>
    <row r="1434" spans="1:12" x14ac:dyDescent="0.25">
      <c r="A1434" s="476"/>
      <c r="B1434" s="277" t="s">
        <v>153</v>
      </c>
      <c r="C1434" s="278" t="s">
        <v>1964</v>
      </c>
      <c r="D1434" s="278">
        <v>12</v>
      </c>
      <c r="E1434" s="277">
        <v>59030270</v>
      </c>
      <c r="F1434" s="277"/>
      <c r="G1434" s="112" t="s">
        <v>1956</v>
      </c>
      <c r="H1434" s="278">
        <v>12</v>
      </c>
      <c r="I1434" s="277">
        <v>69505449</v>
      </c>
      <c r="J1434" s="113"/>
      <c r="K1434" s="114"/>
      <c r="L1434" s="149"/>
    </row>
    <row r="1435" spans="1:12" x14ac:dyDescent="0.25">
      <c r="A1435" s="476"/>
      <c r="B1435" s="277" t="s">
        <v>153</v>
      </c>
      <c r="C1435" s="278" t="s">
        <v>1964</v>
      </c>
      <c r="D1435" s="278">
        <v>12</v>
      </c>
      <c r="E1435" s="277">
        <v>59039384</v>
      </c>
      <c r="F1435" s="277"/>
      <c r="G1435" s="112" t="s">
        <v>1956</v>
      </c>
      <c r="H1435" s="278">
        <v>12</v>
      </c>
      <c r="I1435" s="277">
        <v>69956768</v>
      </c>
      <c r="J1435" s="113"/>
      <c r="K1435" s="114"/>
      <c r="L1435" s="149"/>
    </row>
    <row r="1436" spans="1:12" x14ac:dyDescent="0.25">
      <c r="A1436" s="476"/>
      <c r="B1436" s="277" t="s">
        <v>153</v>
      </c>
      <c r="C1436" s="278" t="s">
        <v>1960</v>
      </c>
      <c r="D1436" s="278">
        <v>12</v>
      </c>
      <c r="E1436" s="277">
        <v>59051661</v>
      </c>
      <c r="F1436" s="277"/>
      <c r="G1436" s="112" t="s">
        <v>1956</v>
      </c>
      <c r="H1436" s="278">
        <v>12</v>
      </c>
      <c r="I1436" s="277">
        <v>128670541</v>
      </c>
      <c r="J1436" s="113"/>
      <c r="K1436" s="114"/>
      <c r="L1436" s="149"/>
    </row>
    <row r="1437" spans="1:12" x14ac:dyDescent="0.25">
      <c r="A1437" s="476"/>
      <c r="B1437" s="277" t="s">
        <v>153</v>
      </c>
      <c r="C1437" s="278" t="s">
        <v>1964</v>
      </c>
      <c r="D1437" s="278">
        <v>12</v>
      </c>
      <c r="E1437" s="277">
        <v>59053029</v>
      </c>
      <c r="F1437" s="277"/>
      <c r="G1437" s="112" t="s">
        <v>1956</v>
      </c>
      <c r="H1437" s="278">
        <v>12</v>
      </c>
      <c r="I1437" s="277">
        <v>70198567</v>
      </c>
      <c r="J1437" s="113"/>
      <c r="K1437" s="114"/>
      <c r="L1437" s="149"/>
    </row>
    <row r="1438" spans="1:12" x14ac:dyDescent="0.25">
      <c r="A1438" s="476"/>
      <c r="B1438" s="277" t="s">
        <v>153</v>
      </c>
      <c r="C1438" s="278" t="s">
        <v>1960</v>
      </c>
      <c r="D1438" s="278">
        <v>12</v>
      </c>
      <c r="E1438" s="277">
        <v>59058946</v>
      </c>
      <c r="F1438" s="277"/>
      <c r="G1438" s="112" t="s">
        <v>1956</v>
      </c>
      <c r="H1438" s="278">
        <v>12</v>
      </c>
      <c r="I1438" s="277">
        <v>69484415</v>
      </c>
      <c r="J1438" s="113"/>
      <c r="K1438" s="114"/>
      <c r="L1438" s="149"/>
    </row>
    <row r="1439" spans="1:12" x14ac:dyDescent="0.25">
      <c r="A1439" s="476"/>
      <c r="B1439" s="277" t="s">
        <v>153</v>
      </c>
      <c r="C1439" s="278" t="s">
        <v>1960</v>
      </c>
      <c r="D1439" s="278">
        <v>12</v>
      </c>
      <c r="E1439" s="277">
        <v>59062776</v>
      </c>
      <c r="F1439" s="277"/>
      <c r="G1439" s="112" t="s">
        <v>1956</v>
      </c>
      <c r="H1439" s="278">
        <v>12</v>
      </c>
      <c r="I1439" s="277">
        <v>69693545</v>
      </c>
      <c r="J1439" s="113"/>
      <c r="K1439" s="114"/>
      <c r="L1439" s="149"/>
    </row>
    <row r="1440" spans="1:12" x14ac:dyDescent="0.25">
      <c r="A1440" s="476"/>
      <c r="B1440" s="277" t="s">
        <v>153</v>
      </c>
      <c r="C1440" s="278" t="s">
        <v>1964</v>
      </c>
      <c r="D1440" s="278">
        <v>12</v>
      </c>
      <c r="E1440" s="277">
        <v>59064399</v>
      </c>
      <c r="F1440" s="277"/>
      <c r="G1440" s="112" t="s">
        <v>1956</v>
      </c>
      <c r="H1440" s="278">
        <v>12</v>
      </c>
      <c r="I1440" s="277">
        <v>128153078</v>
      </c>
      <c r="J1440" s="113"/>
      <c r="K1440" s="114"/>
      <c r="L1440" s="149"/>
    </row>
    <row r="1441" spans="1:12" x14ac:dyDescent="0.25">
      <c r="A1441" s="476"/>
      <c r="B1441" s="277" t="s">
        <v>153</v>
      </c>
      <c r="C1441" s="278" t="s">
        <v>1960</v>
      </c>
      <c r="D1441" s="278">
        <v>12</v>
      </c>
      <c r="E1441" s="277">
        <v>59072450</v>
      </c>
      <c r="F1441" s="277"/>
      <c r="G1441" s="112" t="s">
        <v>1956</v>
      </c>
      <c r="H1441" s="278">
        <v>12</v>
      </c>
      <c r="I1441" s="277">
        <v>128621260</v>
      </c>
      <c r="J1441" s="113"/>
      <c r="K1441" s="114"/>
      <c r="L1441" s="149"/>
    </row>
    <row r="1442" spans="1:12" x14ac:dyDescent="0.25">
      <c r="A1442" s="476"/>
      <c r="B1442" s="277" t="s">
        <v>153</v>
      </c>
      <c r="C1442" s="278" t="s">
        <v>1960</v>
      </c>
      <c r="D1442" s="278">
        <v>12</v>
      </c>
      <c r="E1442" s="277">
        <v>59083861</v>
      </c>
      <c r="F1442" s="277"/>
      <c r="G1442" s="112" t="s">
        <v>1956</v>
      </c>
      <c r="H1442" s="278">
        <v>12</v>
      </c>
      <c r="I1442" s="277">
        <v>69733425</v>
      </c>
      <c r="J1442" s="113"/>
      <c r="K1442" s="114"/>
      <c r="L1442" s="149"/>
    </row>
    <row r="1443" spans="1:12" x14ac:dyDescent="0.25">
      <c r="A1443" s="476"/>
      <c r="B1443" s="277" t="s">
        <v>153</v>
      </c>
      <c r="C1443" s="278" t="s">
        <v>1954</v>
      </c>
      <c r="D1443" s="278">
        <v>12</v>
      </c>
      <c r="E1443" s="277">
        <v>59087737</v>
      </c>
      <c r="F1443" s="277"/>
      <c r="G1443" s="112" t="s">
        <v>1956</v>
      </c>
      <c r="H1443" s="278">
        <v>12</v>
      </c>
      <c r="I1443" s="277">
        <v>69912701</v>
      </c>
      <c r="J1443" s="113"/>
      <c r="K1443" s="114"/>
      <c r="L1443" s="149"/>
    </row>
    <row r="1444" spans="1:12" x14ac:dyDescent="0.25">
      <c r="A1444" s="476"/>
      <c r="B1444" s="277" t="s">
        <v>153</v>
      </c>
      <c r="C1444" s="278" t="s">
        <v>1964</v>
      </c>
      <c r="D1444" s="278">
        <v>12</v>
      </c>
      <c r="E1444" s="277">
        <v>59090202</v>
      </c>
      <c r="F1444" s="277"/>
      <c r="G1444" s="112" t="s">
        <v>1956</v>
      </c>
      <c r="H1444" s="278">
        <v>12</v>
      </c>
      <c r="I1444" s="277">
        <v>69728394</v>
      </c>
      <c r="J1444" s="113"/>
      <c r="K1444" s="114"/>
      <c r="L1444" s="149"/>
    </row>
    <row r="1445" spans="1:12" x14ac:dyDescent="0.25">
      <c r="A1445" s="476"/>
      <c r="B1445" s="277" t="s">
        <v>153</v>
      </c>
      <c r="C1445" s="278" t="s">
        <v>1954</v>
      </c>
      <c r="D1445" s="278">
        <v>12</v>
      </c>
      <c r="E1445" s="277">
        <v>59094128</v>
      </c>
      <c r="F1445" s="277"/>
      <c r="G1445" s="112" t="s">
        <v>1956</v>
      </c>
      <c r="H1445" s="278">
        <v>12</v>
      </c>
      <c r="I1445" s="277">
        <v>128510433</v>
      </c>
      <c r="J1445" s="113"/>
      <c r="K1445" s="114"/>
      <c r="L1445" s="149"/>
    </row>
    <row r="1446" spans="1:12" x14ac:dyDescent="0.25">
      <c r="A1446" s="476"/>
      <c r="B1446" s="277" t="s">
        <v>153</v>
      </c>
      <c r="C1446" s="278" t="s">
        <v>1954</v>
      </c>
      <c r="D1446" s="278">
        <v>12</v>
      </c>
      <c r="E1446" s="277">
        <v>59094747</v>
      </c>
      <c r="F1446" s="277"/>
      <c r="G1446" s="112" t="s">
        <v>1956</v>
      </c>
      <c r="H1446" s="278">
        <v>12</v>
      </c>
      <c r="I1446" s="277">
        <v>69475633</v>
      </c>
      <c r="J1446" s="113"/>
      <c r="K1446" s="114"/>
      <c r="L1446" s="149"/>
    </row>
    <row r="1447" spans="1:12" x14ac:dyDescent="0.25">
      <c r="A1447" s="476"/>
      <c r="B1447" s="277" t="s">
        <v>153</v>
      </c>
      <c r="C1447" s="278" t="s">
        <v>1960</v>
      </c>
      <c r="D1447" s="278">
        <v>12</v>
      </c>
      <c r="E1447" s="277">
        <v>59100954</v>
      </c>
      <c r="F1447" s="277"/>
      <c r="G1447" s="112" t="s">
        <v>1956</v>
      </c>
      <c r="H1447" s="278">
        <v>12</v>
      </c>
      <c r="I1447" s="277">
        <v>128692968</v>
      </c>
      <c r="J1447" s="113"/>
      <c r="K1447" s="114"/>
      <c r="L1447" s="149"/>
    </row>
    <row r="1448" spans="1:12" x14ac:dyDescent="0.25">
      <c r="A1448" s="476"/>
      <c r="B1448" s="277" t="s">
        <v>153</v>
      </c>
      <c r="C1448" s="278" t="s">
        <v>1964</v>
      </c>
      <c r="D1448" s="278">
        <v>12</v>
      </c>
      <c r="E1448" s="277">
        <v>59101160</v>
      </c>
      <c r="F1448" s="277"/>
      <c r="G1448" s="112" t="s">
        <v>1956</v>
      </c>
      <c r="H1448" s="278">
        <v>12</v>
      </c>
      <c r="I1448" s="277">
        <v>59145965</v>
      </c>
      <c r="J1448" s="113"/>
      <c r="K1448" s="114"/>
      <c r="L1448" s="149"/>
    </row>
    <row r="1449" spans="1:12" x14ac:dyDescent="0.25">
      <c r="A1449" s="476"/>
      <c r="B1449" s="277" t="s">
        <v>153</v>
      </c>
      <c r="C1449" s="278" t="s">
        <v>1964</v>
      </c>
      <c r="D1449" s="278">
        <v>12</v>
      </c>
      <c r="E1449" s="277">
        <v>59104803</v>
      </c>
      <c r="F1449" s="277"/>
      <c r="G1449" s="112" t="s">
        <v>1956</v>
      </c>
      <c r="H1449" s="278">
        <v>12</v>
      </c>
      <c r="I1449" s="277">
        <v>69444463</v>
      </c>
      <c r="J1449" s="113"/>
      <c r="K1449" s="114"/>
      <c r="L1449" s="149"/>
    </row>
    <row r="1450" spans="1:12" x14ac:dyDescent="0.25">
      <c r="A1450" s="476"/>
      <c r="B1450" s="277" t="s">
        <v>153</v>
      </c>
      <c r="C1450" s="278" t="s">
        <v>1960</v>
      </c>
      <c r="D1450" s="278">
        <v>12</v>
      </c>
      <c r="E1450" s="277">
        <v>59118211</v>
      </c>
      <c r="F1450" s="277"/>
      <c r="G1450" s="112" t="s">
        <v>1956</v>
      </c>
      <c r="H1450" s="278">
        <v>12</v>
      </c>
      <c r="I1450" s="277">
        <v>71218568</v>
      </c>
      <c r="J1450" s="113"/>
      <c r="K1450" s="114"/>
      <c r="L1450" s="149"/>
    </row>
    <row r="1451" spans="1:12" x14ac:dyDescent="0.25">
      <c r="A1451" s="476"/>
      <c r="B1451" s="277" t="s">
        <v>153</v>
      </c>
      <c r="C1451" s="278" t="s">
        <v>1964</v>
      </c>
      <c r="D1451" s="278">
        <v>12</v>
      </c>
      <c r="E1451" s="277">
        <v>59120441</v>
      </c>
      <c r="F1451" s="277"/>
      <c r="G1451" s="112" t="s">
        <v>1956</v>
      </c>
      <c r="H1451" s="278">
        <v>12</v>
      </c>
      <c r="I1451" s="277">
        <v>128611939</v>
      </c>
      <c r="J1451" s="113"/>
      <c r="K1451" s="114"/>
      <c r="L1451" s="149"/>
    </row>
    <row r="1452" spans="1:12" x14ac:dyDescent="0.25">
      <c r="A1452" s="476"/>
      <c r="B1452" s="277" t="s">
        <v>153</v>
      </c>
      <c r="C1452" s="278" t="s">
        <v>1964</v>
      </c>
      <c r="D1452" s="278">
        <v>12</v>
      </c>
      <c r="E1452" s="277">
        <v>59134954</v>
      </c>
      <c r="F1452" s="277"/>
      <c r="G1452" s="112" t="s">
        <v>1956</v>
      </c>
      <c r="H1452" s="278">
        <v>12</v>
      </c>
      <c r="I1452" s="277">
        <v>69426256</v>
      </c>
      <c r="J1452" s="113"/>
      <c r="K1452" s="114"/>
      <c r="L1452" s="149"/>
    </row>
    <row r="1453" spans="1:12" x14ac:dyDescent="0.25">
      <c r="A1453" s="476"/>
      <c r="B1453" s="277" t="s">
        <v>153</v>
      </c>
      <c r="C1453" s="278" t="s">
        <v>1964</v>
      </c>
      <c r="D1453" s="278">
        <v>12</v>
      </c>
      <c r="E1453" s="277">
        <v>59145333</v>
      </c>
      <c r="F1453" s="277"/>
      <c r="G1453" s="112" t="s">
        <v>1956</v>
      </c>
      <c r="H1453" s="278">
        <v>12</v>
      </c>
      <c r="I1453" s="277">
        <v>69508705</v>
      </c>
      <c r="J1453" s="113"/>
      <c r="K1453" s="114"/>
      <c r="L1453" s="149"/>
    </row>
    <row r="1454" spans="1:12" x14ac:dyDescent="0.25">
      <c r="A1454" s="476"/>
      <c r="B1454" s="277" t="s">
        <v>153</v>
      </c>
      <c r="C1454" s="278" t="s">
        <v>1964</v>
      </c>
      <c r="D1454" s="278">
        <v>12</v>
      </c>
      <c r="E1454" s="277">
        <v>59154060</v>
      </c>
      <c r="F1454" s="277"/>
      <c r="G1454" s="112" t="s">
        <v>1956</v>
      </c>
      <c r="H1454" s="278">
        <v>12</v>
      </c>
      <c r="I1454" s="277">
        <v>59219784</v>
      </c>
      <c r="J1454" s="113"/>
      <c r="K1454" s="114"/>
      <c r="L1454" s="149"/>
    </row>
    <row r="1455" spans="1:12" x14ac:dyDescent="0.25">
      <c r="A1455" s="476"/>
      <c r="B1455" s="277" t="s">
        <v>153</v>
      </c>
      <c r="C1455" s="278" t="s">
        <v>1964</v>
      </c>
      <c r="D1455" s="278">
        <v>12</v>
      </c>
      <c r="E1455" s="277">
        <v>59165834</v>
      </c>
      <c r="F1455" s="277"/>
      <c r="G1455" s="112" t="s">
        <v>1956</v>
      </c>
      <c r="H1455" s="278">
        <v>12</v>
      </c>
      <c r="I1455" s="277">
        <v>59249075</v>
      </c>
      <c r="J1455" s="113"/>
      <c r="K1455" s="114"/>
      <c r="L1455" s="149"/>
    </row>
    <row r="1456" spans="1:12" x14ac:dyDescent="0.25">
      <c r="A1456" s="476"/>
      <c r="B1456" s="277" t="s">
        <v>153</v>
      </c>
      <c r="C1456" s="278" t="s">
        <v>1964</v>
      </c>
      <c r="D1456" s="278">
        <v>12</v>
      </c>
      <c r="E1456" s="277">
        <v>59168867</v>
      </c>
      <c r="F1456" s="277"/>
      <c r="G1456" s="112" t="s">
        <v>1956</v>
      </c>
      <c r="H1456" s="278">
        <v>12</v>
      </c>
      <c r="I1456" s="277">
        <v>68959071</v>
      </c>
      <c r="J1456" s="113"/>
      <c r="K1456" s="114"/>
      <c r="L1456" s="149"/>
    </row>
    <row r="1457" spans="1:12" x14ac:dyDescent="0.25">
      <c r="A1457" s="476"/>
      <c r="B1457" s="277" t="s">
        <v>153</v>
      </c>
      <c r="C1457" s="278" t="s">
        <v>1964</v>
      </c>
      <c r="D1457" s="278">
        <v>12</v>
      </c>
      <c r="E1457" s="277">
        <v>59171382</v>
      </c>
      <c r="F1457" s="277"/>
      <c r="G1457" s="112" t="s">
        <v>1956</v>
      </c>
      <c r="H1457" s="278">
        <v>12</v>
      </c>
      <c r="I1457" s="277">
        <v>69515134</v>
      </c>
      <c r="J1457" s="113"/>
      <c r="K1457" s="114"/>
      <c r="L1457" s="149"/>
    </row>
    <row r="1458" spans="1:12" x14ac:dyDescent="0.25">
      <c r="A1458" s="476"/>
      <c r="B1458" s="277" t="s">
        <v>153</v>
      </c>
      <c r="C1458" s="278" t="s">
        <v>1964</v>
      </c>
      <c r="D1458" s="278">
        <v>12</v>
      </c>
      <c r="E1458" s="277">
        <v>59174680</v>
      </c>
      <c r="F1458" s="277"/>
      <c r="G1458" s="112" t="s">
        <v>1956</v>
      </c>
      <c r="H1458" s="278">
        <v>12</v>
      </c>
      <c r="I1458" s="277">
        <v>128145592</v>
      </c>
      <c r="J1458" s="113"/>
      <c r="K1458" s="114"/>
      <c r="L1458" s="149"/>
    </row>
    <row r="1459" spans="1:12" x14ac:dyDescent="0.25">
      <c r="A1459" s="476"/>
      <c r="B1459" s="277" t="s">
        <v>153</v>
      </c>
      <c r="C1459" s="278" t="s">
        <v>1964</v>
      </c>
      <c r="D1459" s="278">
        <v>12</v>
      </c>
      <c r="E1459" s="277">
        <v>59174703</v>
      </c>
      <c r="F1459" s="277"/>
      <c r="G1459" s="112" t="s">
        <v>1956</v>
      </c>
      <c r="H1459" s="278">
        <v>12</v>
      </c>
      <c r="I1459" s="277">
        <v>69472517</v>
      </c>
      <c r="J1459" s="113"/>
      <c r="K1459" s="114"/>
      <c r="L1459" s="149"/>
    </row>
    <row r="1460" spans="1:12" x14ac:dyDescent="0.25">
      <c r="A1460" s="476"/>
      <c r="B1460" s="277" t="s">
        <v>153</v>
      </c>
      <c r="C1460" s="278" t="s">
        <v>1960</v>
      </c>
      <c r="D1460" s="278">
        <v>12</v>
      </c>
      <c r="E1460" s="277">
        <v>59174980</v>
      </c>
      <c r="F1460" s="277"/>
      <c r="G1460" s="112" t="s">
        <v>1956</v>
      </c>
      <c r="H1460" s="278">
        <v>12</v>
      </c>
      <c r="I1460" s="277">
        <v>128014316</v>
      </c>
      <c r="J1460" s="113"/>
      <c r="K1460" s="114"/>
      <c r="L1460" s="149"/>
    </row>
    <row r="1461" spans="1:12" x14ac:dyDescent="0.25">
      <c r="A1461" s="476"/>
      <c r="B1461" s="277" t="s">
        <v>153</v>
      </c>
      <c r="C1461" s="278" t="s">
        <v>1954</v>
      </c>
      <c r="D1461" s="278">
        <v>12</v>
      </c>
      <c r="E1461" s="277">
        <v>59175142</v>
      </c>
      <c r="F1461" s="277"/>
      <c r="G1461" s="112" t="s">
        <v>1956</v>
      </c>
      <c r="H1461" s="278">
        <v>12</v>
      </c>
      <c r="I1461" s="277">
        <v>70434082</v>
      </c>
      <c r="J1461" s="113"/>
      <c r="K1461" s="114"/>
      <c r="L1461" s="149"/>
    </row>
    <row r="1462" spans="1:12" x14ac:dyDescent="0.25">
      <c r="A1462" s="476"/>
      <c r="B1462" s="277" t="s">
        <v>153</v>
      </c>
      <c r="C1462" s="278" t="s">
        <v>1964</v>
      </c>
      <c r="D1462" s="278">
        <v>12</v>
      </c>
      <c r="E1462" s="277">
        <v>59176382</v>
      </c>
      <c r="F1462" s="277"/>
      <c r="G1462" s="112" t="s">
        <v>1956</v>
      </c>
      <c r="H1462" s="278">
        <v>12</v>
      </c>
      <c r="I1462" s="277">
        <v>69469988</v>
      </c>
      <c r="J1462" s="113"/>
      <c r="K1462" s="114"/>
      <c r="L1462" s="149"/>
    </row>
    <row r="1463" spans="1:12" x14ac:dyDescent="0.25">
      <c r="A1463" s="476"/>
      <c r="B1463" s="277" t="s">
        <v>153</v>
      </c>
      <c r="C1463" s="278" t="s">
        <v>1954</v>
      </c>
      <c r="D1463" s="278">
        <v>12</v>
      </c>
      <c r="E1463" s="277">
        <v>59178348</v>
      </c>
      <c r="F1463" s="277"/>
      <c r="G1463" s="112" t="s">
        <v>1956</v>
      </c>
      <c r="H1463" s="278">
        <v>12</v>
      </c>
      <c r="I1463" s="277">
        <v>71148351</v>
      </c>
      <c r="J1463" s="113"/>
      <c r="K1463" s="114"/>
      <c r="L1463" s="149"/>
    </row>
    <row r="1464" spans="1:12" x14ac:dyDescent="0.25">
      <c r="A1464" s="476"/>
      <c r="B1464" s="277" t="s">
        <v>153</v>
      </c>
      <c r="C1464" s="278" t="s">
        <v>1960</v>
      </c>
      <c r="D1464" s="278">
        <v>12</v>
      </c>
      <c r="E1464" s="277">
        <v>59178669</v>
      </c>
      <c r="F1464" s="277"/>
      <c r="G1464" s="112" t="s">
        <v>1956</v>
      </c>
      <c r="H1464" s="278">
        <v>12</v>
      </c>
      <c r="I1464" s="277">
        <v>70104956</v>
      </c>
      <c r="J1464" s="113"/>
      <c r="K1464" s="114"/>
      <c r="L1464" s="149"/>
    </row>
    <row r="1465" spans="1:12" x14ac:dyDescent="0.25">
      <c r="A1465" s="476"/>
      <c r="B1465" s="277" t="s">
        <v>153</v>
      </c>
      <c r="C1465" s="278" t="s">
        <v>1954</v>
      </c>
      <c r="D1465" s="278">
        <v>12</v>
      </c>
      <c r="E1465" s="277">
        <v>59179133</v>
      </c>
      <c r="F1465" s="277"/>
      <c r="G1465" s="112" t="s">
        <v>1956</v>
      </c>
      <c r="H1465" s="278">
        <v>12</v>
      </c>
      <c r="I1465" s="277">
        <v>69617472</v>
      </c>
      <c r="J1465" s="113"/>
      <c r="K1465" s="114"/>
      <c r="L1465" s="149"/>
    </row>
    <row r="1466" spans="1:12" x14ac:dyDescent="0.25">
      <c r="A1466" s="476"/>
      <c r="B1466" s="277" t="s">
        <v>153</v>
      </c>
      <c r="C1466" s="278" t="s">
        <v>1964</v>
      </c>
      <c r="D1466" s="278">
        <v>12</v>
      </c>
      <c r="E1466" s="277">
        <v>59192491</v>
      </c>
      <c r="F1466" s="277"/>
      <c r="G1466" s="112" t="s">
        <v>1956</v>
      </c>
      <c r="H1466" s="278">
        <v>12</v>
      </c>
      <c r="I1466" s="277">
        <v>71130491</v>
      </c>
      <c r="J1466" s="113"/>
      <c r="K1466" s="114"/>
      <c r="L1466" s="149"/>
    </row>
    <row r="1467" spans="1:12" x14ac:dyDescent="0.25">
      <c r="A1467" s="476"/>
      <c r="B1467" s="277" t="s">
        <v>153</v>
      </c>
      <c r="C1467" s="278" t="s">
        <v>1954</v>
      </c>
      <c r="D1467" s="278">
        <v>12</v>
      </c>
      <c r="E1467" s="277">
        <v>59193237</v>
      </c>
      <c r="F1467" s="277"/>
      <c r="G1467" s="112" t="s">
        <v>1956</v>
      </c>
      <c r="H1467" s="278">
        <v>12</v>
      </c>
      <c r="I1467" s="277">
        <v>70373368</v>
      </c>
      <c r="J1467" s="113"/>
      <c r="K1467" s="114"/>
      <c r="L1467" s="149"/>
    </row>
    <row r="1468" spans="1:12" x14ac:dyDescent="0.25">
      <c r="A1468" s="476"/>
      <c r="B1468" s="277" t="s">
        <v>153</v>
      </c>
      <c r="C1468" s="278" t="s">
        <v>1964</v>
      </c>
      <c r="D1468" s="278">
        <v>12</v>
      </c>
      <c r="E1468" s="277">
        <v>59201278</v>
      </c>
      <c r="F1468" s="277"/>
      <c r="G1468" s="112" t="s">
        <v>1956</v>
      </c>
      <c r="H1468" s="278">
        <v>12</v>
      </c>
      <c r="I1468" s="277">
        <v>128371451</v>
      </c>
      <c r="J1468" s="113"/>
      <c r="K1468" s="114"/>
      <c r="L1468" s="149"/>
    </row>
    <row r="1469" spans="1:12" x14ac:dyDescent="0.25">
      <c r="A1469" s="476"/>
      <c r="B1469" s="277" t="s">
        <v>153</v>
      </c>
      <c r="C1469" s="278" t="s">
        <v>1964</v>
      </c>
      <c r="D1469" s="278">
        <v>12</v>
      </c>
      <c r="E1469" s="277">
        <v>59212715</v>
      </c>
      <c r="F1469" s="277"/>
      <c r="G1469" s="112" t="s">
        <v>1956</v>
      </c>
      <c r="H1469" s="278">
        <v>12</v>
      </c>
      <c r="I1469" s="277">
        <v>69646533</v>
      </c>
      <c r="J1469" s="113"/>
      <c r="K1469" s="114"/>
      <c r="L1469" s="149"/>
    </row>
    <row r="1470" spans="1:12" x14ac:dyDescent="0.25">
      <c r="A1470" s="476"/>
      <c r="B1470" s="277" t="s">
        <v>153</v>
      </c>
      <c r="C1470" s="278" t="s">
        <v>1964</v>
      </c>
      <c r="D1470" s="278">
        <v>12</v>
      </c>
      <c r="E1470" s="277">
        <v>59235048</v>
      </c>
      <c r="F1470" s="277"/>
      <c r="G1470" s="112" t="s">
        <v>1956</v>
      </c>
      <c r="H1470" s="278">
        <v>12</v>
      </c>
      <c r="I1470" s="277">
        <v>69742451</v>
      </c>
      <c r="J1470" s="113"/>
      <c r="K1470" s="114"/>
      <c r="L1470" s="149"/>
    </row>
    <row r="1471" spans="1:12" x14ac:dyDescent="0.25">
      <c r="A1471" s="476"/>
      <c r="B1471" s="277" t="s">
        <v>153</v>
      </c>
      <c r="C1471" s="278" t="s">
        <v>1964</v>
      </c>
      <c r="D1471" s="278">
        <v>12</v>
      </c>
      <c r="E1471" s="277">
        <v>59244826</v>
      </c>
      <c r="F1471" s="277"/>
      <c r="G1471" s="112" t="s">
        <v>1956</v>
      </c>
      <c r="H1471" s="278">
        <v>12</v>
      </c>
      <c r="I1471" s="277">
        <v>69267316</v>
      </c>
      <c r="J1471" s="113"/>
      <c r="K1471" s="114"/>
      <c r="L1471" s="149"/>
    </row>
    <row r="1472" spans="1:12" x14ac:dyDescent="0.25">
      <c r="A1472" s="476"/>
      <c r="B1472" s="277" t="s">
        <v>153</v>
      </c>
      <c r="C1472" s="278" t="s">
        <v>1964</v>
      </c>
      <c r="D1472" s="278">
        <v>12</v>
      </c>
      <c r="E1472" s="277">
        <v>59245350</v>
      </c>
      <c r="F1472" s="277"/>
      <c r="G1472" s="112" t="s">
        <v>1956</v>
      </c>
      <c r="H1472" s="278">
        <v>12</v>
      </c>
      <c r="I1472" s="277">
        <v>59281183</v>
      </c>
      <c r="J1472" s="113"/>
      <c r="K1472" s="114"/>
      <c r="L1472" s="149"/>
    </row>
    <row r="1473" spans="1:12" x14ac:dyDescent="0.25">
      <c r="A1473" s="476"/>
      <c r="B1473" s="277" t="s">
        <v>153</v>
      </c>
      <c r="C1473" s="278" t="s">
        <v>1964</v>
      </c>
      <c r="D1473" s="278">
        <v>12</v>
      </c>
      <c r="E1473" s="277">
        <v>59269989</v>
      </c>
      <c r="F1473" s="277"/>
      <c r="G1473" s="112" t="s">
        <v>1956</v>
      </c>
      <c r="H1473" s="278">
        <v>12</v>
      </c>
      <c r="I1473" s="277">
        <v>69204483</v>
      </c>
      <c r="J1473" s="113"/>
      <c r="K1473" s="114"/>
      <c r="L1473" s="149"/>
    </row>
    <row r="1474" spans="1:12" x14ac:dyDescent="0.25">
      <c r="A1474" s="476"/>
      <c r="B1474" s="277" t="s">
        <v>153</v>
      </c>
      <c r="C1474" s="278" t="s">
        <v>1960</v>
      </c>
      <c r="D1474" s="278">
        <v>12</v>
      </c>
      <c r="E1474" s="277">
        <v>59278127</v>
      </c>
      <c r="F1474" s="277"/>
      <c r="G1474" s="112" t="s">
        <v>1956</v>
      </c>
      <c r="H1474" s="278">
        <v>12</v>
      </c>
      <c r="I1474" s="277">
        <v>69476642</v>
      </c>
      <c r="J1474" s="113"/>
      <c r="K1474" s="114"/>
      <c r="L1474" s="149"/>
    </row>
    <row r="1475" spans="1:12" x14ac:dyDescent="0.25">
      <c r="A1475" s="476"/>
      <c r="B1475" s="277" t="s">
        <v>153</v>
      </c>
      <c r="C1475" s="278" t="s">
        <v>1964</v>
      </c>
      <c r="D1475" s="278">
        <v>12</v>
      </c>
      <c r="E1475" s="277">
        <v>59285537</v>
      </c>
      <c r="F1475" s="277"/>
      <c r="G1475" s="112" t="s">
        <v>1956</v>
      </c>
      <c r="H1475" s="278">
        <v>12</v>
      </c>
      <c r="I1475" s="277">
        <v>69592583</v>
      </c>
      <c r="J1475" s="113"/>
      <c r="K1475" s="114"/>
      <c r="L1475" s="149"/>
    </row>
    <row r="1476" spans="1:12" x14ac:dyDescent="0.25">
      <c r="A1476" s="476"/>
      <c r="B1476" s="277" t="s">
        <v>153</v>
      </c>
      <c r="C1476" s="278" t="s">
        <v>1964</v>
      </c>
      <c r="D1476" s="278">
        <v>12</v>
      </c>
      <c r="E1476" s="277">
        <v>68695829</v>
      </c>
      <c r="F1476" s="277"/>
      <c r="G1476" s="112" t="s">
        <v>1956</v>
      </c>
      <c r="H1476" s="278">
        <v>12</v>
      </c>
      <c r="I1476" s="277">
        <v>71178340</v>
      </c>
      <c r="J1476" s="113"/>
      <c r="K1476" s="114"/>
      <c r="L1476" s="149"/>
    </row>
    <row r="1477" spans="1:12" x14ac:dyDescent="0.25">
      <c r="A1477" s="476"/>
      <c r="B1477" s="277" t="s">
        <v>153</v>
      </c>
      <c r="C1477" s="278" t="s">
        <v>1964</v>
      </c>
      <c r="D1477" s="278">
        <v>12</v>
      </c>
      <c r="E1477" s="277">
        <v>68696046</v>
      </c>
      <c r="F1477" s="277"/>
      <c r="G1477" s="112" t="s">
        <v>1956</v>
      </c>
      <c r="H1477" s="278">
        <v>12</v>
      </c>
      <c r="I1477" s="277">
        <v>70854751</v>
      </c>
      <c r="J1477" s="113"/>
      <c r="K1477" s="114"/>
      <c r="L1477" s="149"/>
    </row>
    <row r="1478" spans="1:12" x14ac:dyDescent="0.25">
      <c r="A1478" s="476"/>
      <c r="B1478" s="277" t="s">
        <v>153</v>
      </c>
      <c r="C1478" s="278" t="s">
        <v>1964</v>
      </c>
      <c r="D1478" s="278">
        <v>12</v>
      </c>
      <c r="E1478" s="277">
        <v>68696248</v>
      </c>
      <c r="F1478" s="277"/>
      <c r="G1478" s="112" t="s">
        <v>1956</v>
      </c>
      <c r="H1478" s="278">
        <v>12</v>
      </c>
      <c r="I1478" s="277">
        <v>70360609</v>
      </c>
      <c r="J1478" s="113"/>
      <c r="K1478" s="114"/>
      <c r="L1478" s="149"/>
    </row>
    <row r="1479" spans="1:12" x14ac:dyDescent="0.25">
      <c r="A1479" s="476"/>
      <c r="B1479" s="277" t="s">
        <v>153</v>
      </c>
      <c r="C1479" s="278" t="s">
        <v>1960</v>
      </c>
      <c r="D1479" s="278">
        <v>12</v>
      </c>
      <c r="E1479" s="277">
        <v>68696305</v>
      </c>
      <c r="F1479" s="277"/>
      <c r="G1479" s="112" t="s">
        <v>1956</v>
      </c>
      <c r="H1479" s="278">
        <v>12</v>
      </c>
      <c r="I1479" s="277">
        <v>70854765</v>
      </c>
      <c r="J1479" s="113"/>
      <c r="K1479" s="114"/>
      <c r="L1479" s="149"/>
    </row>
    <row r="1480" spans="1:12" x14ac:dyDescent="0.25">
      <c r="A1480" s="476"/>
      <c r="B1480" s="277" t="s">
        <v>153</v>
      </c>
      <c r="C1480" s="278" t="s">
        <v>1960</v>
      </c>
      <c r="D1480" s="278">
        <v>12</v>
      </c>
      <c r="E1480" s="277">
        <v>68696416</v>
      </c>
      <c r="F1480" s="277"/>
      <c r="G1480" s="112" t="s">
        <v>1956</v>
      </c>
      <c r="H1480" s="278">
        <v>12</v>
      </c>
      <c r="I1480" s="277">
        <v>68763297</v>
      </c>
      <c r="J1480" s="113"/>
      <c r="K1480" s="114"/>
      <c r="L1480" s="149"/>
    </row>
    <row r="1481" spans="1:12" x14ac:dyDescent="0.25">
      <c r="A1481" s="476"/>
      <c r="B1481" s="277" t="s">
        <v>153</v>
      </c>
      <c r="C1481" s="278" t="s">
        <v>1964</v>
      </c>
      <c r="D1481" s="278">
        <v>12</v>
      </c>
      <c r="E1481" s="277">
        <v>68751455</v>
      </c>
      <c r="F1481" s="277"/>
      <c r="G1481" s="112" t="s">
        <v>1956</v>
      </c>
      <c r="H1481" s="278">
        <v>12</v>
      </c>
      <c r="I1481" s="277">
        <v>128017263</v>
      </c>
      <c r="J1481" s="113"/>
      <c r="K1481" s="114"/>
      <c r="L1481" s="149"/>
    </row>
    <row r="1482" spans="1:12" x14ac:dyDescent="0.25">
      <c r="A1482" s="476"/>
      <c r="B1482" s="277" t="s">
        <v>153</v>
      </c>
      <c r="C1482" s="278" t="s">
        <v>1960</v>
      </c>
      <c r="D1482" s="278">
        <v>12</v>
      </c>
      <c r="E1482" s="277">
        <v>68762113</v>
      </c>
      <c r="F1482" s="277"/>
      <c r="G1482" s="112" t="s">
        <v>1956</v>
      </c>
      <c r="H1482" s="278">
        <v>12</v>
      </c>
      <c r="I1482" s="277">
        <v>69638292</v>
      </c>
      <c r="J1482" s="113"/>
      <c r="K1482" s="114"/>
      <c r="L1482" s="149"/>
    </row>
    <row r="1483" spans="1:12" x14ac:dyDescent="0.25">
      <c r="A1483" s="476"/>
      <c r="B1483" s="277" t="s">
        <v>153</v>
      </c>
      <c r="C1483" s="278" t="s">
        <v>1960</v>
      </c>
      <c r="D1483" s="278">
        <v>12</v>
      </c>
      <c r="E1483" s="277">
        <v>69075745</v>
      </c>
      <c r="F1483" s="277"/>
      <c r="G1483" s="112" t="s">
        <v>1956</v>
      </c>
      <c r="H1483" s="278">
        <v>12</v>
      </c>
      <c r="I1483" s="277">
        <v>70364535</v>
      </c>
      <c r="J1483" s="113"/>
      <c r="K1483" s="114"/>
      <c r="L1483" s="149"/>
    </row>
    <row r="1484" spans="1:12" x14ac:dyDescent="0.25">
      <c r="A1484" s="476"/>
      <c r="B1484" s="277" t="s">
        <v>153</v>
      </c>
      <c r="C1484" s="278" t="s">
        <v>1964</v>
      </c>
      <c r="D1484" s="278">
        <v>12</v>
      </c>
      <c r="E1484" s="277">
        <v>69075938</v>
      </c>
      <c r="F1484" s="277"/>
      <c r="G1484" s="112" t="s">
        <v>1956</v>
      </c>
      <c r="H1484" s="278">
        <v>12</v>
      </c>
      <c r="I1484" s="277">
        <v>70308055</v>
      </c>
      <c r="J1484" s="113"/>
      <c r="K1484" s="114"/>
      <c r="L1484" s="149"/>
    </row>
    <row r="1485" spans="1:12" x14ac:dyDescent="0.25">
      <c r="A1485" s="476"/>
      <c r="B1485" s="277" t="s">
        <v>153</v>
      </c>
      <c r="C1485" s="278" t="s">
        <v>1960</v>
      </c>
      <c r="D1485" s="278">
        <v>12</v>
      </c>
      <c r="E1485" s="277">
        <v>69080650</v>
      </c>
      <c r="F1485" s="277"/>
      <c r="G1485" s="112" t="s">
        <v>1956</v>
      </c>
      <c r="H1485" s="278">
        <v>12</v>
      </c>
      <c r="I1485" s="277">
        <v>69430315</v>
      </c>
      <c r="J1485" s="113"/>
      <c r="K1485" s="114"/>
      <c r="L1485" s="149"/>
    </row>
    <row r="1486" spans="1:12" x14ac:dyDescent="0.25">
      <c r="A1486" s="476"/>
      <c r="B1486" s="277" t="s">
        <v>153</v>
      </c>
      <c r="C1486" s="278" t="s">
        <v>1960</v>
      </c>
      <c r="D1486" s="278">
        <v>12</v>
      </c>
      <c r="E1486" s="277">
        <v>69087613</v>
      </c>
      <c r="F1486" s="277"/>
      <c r="G1486" s="112" t="s">
        <v>1956</v>
      </c>
      <c r="H1486" s="278">
        <v>12</v>
      </c>
      <c r="I1486" s="277">
        <v>69635556</v>
      </c>
      <c r="J1486" s="113"/>
      <c r="K1486" s="114"/>
      <c r="L1486" s="149"/>
    </row>
    <row r="1487" spans="1:12" x14ac:dyDescent="0.25">
      <c r="A1487" s="476"/>
      <c r="B1487" s="277" t="s">
        <v>153</v>
      </c>
      <c r="C1487" s="278" t="s">
        <v>1964</v>
      </c>
      <c r="D1487" s="278">
        <v>12</v>
      </c>
      <c r="E1487" s="277">
        <v>69091675</v>
      </c>
      <c r="F1487" s="277"/>
      <c r="G1487" s="112" t="s">
        <v>1956</v>
      </c>
      <c r="H1487" s="278">
        <v>12</v>
      </c>
      <c r="I1487" s="277">
        <v>71156281</v>
      </c>
      <c r="J1487" s="113"/>
      <c r="K1487" s="114"/>
      <c r="L1487" s="149"/>
    </row>
    <row r="1488" spans="1:12" x14ac:dyDescent="0.25">
      <c r="A1488" s="476"/>
      <c r="B1488" s="277" t="s">
        <v>153</v>
      </c>
      <c r="C1488" s="278" t="s">
        <v>1960</v>
      </c>
      <c r="D1488" s="278">
        <v>12</v>
      </c>
      <c r="E1488" s="277">
        <v>69095991</v>
      </c>
      <c r="F1488" s="277"/>
      <c r="G1488" s="112" t="s">
        <v>1956</v>
      </c>
      <c r="H1488" s="278">
        <v>12</v>
      </c>
      <c r="I1488" s="277">
        <v>69246564</v>
      </c>
      <c r="J1488" s="113"/>
      <c r="K1488" s="114"/>
      <c r="L1488" s="149"/>
    </row>
    <row r="1489" spans="1:12" x14ac:dyDescent="0.25">
      <c r="A1489" s="476"/>
      <c r="B1489" s="277" t="s">
        <v>153</v>
      </c>
      <c r="C1489" s="278" t="s">
        <v>1964</v>
      </c>
      <c r="D1489" s="278">
        <v>12</v>
      </c>
      <c r="E1489" s="277">
        <v>69097150</v>
      </c>
      <c r="F1489" s="277"/>
      <c r="G1489" s="112" t="s">
        <v>1956</v>
      </c>
      <c r="H1489" s="278">
        <v>12</v>
      </c>
      <c r="I1489" s="277">
        <v>71211130</v>
      </c>
      <c r="J1489" s="113"/>
      <c r="K1489" s="114"/>
      <c r="L1489" s="149"/>
    </row>
    <row r="1490" spans="1:12" x14ac:dyDescent="0.25">
      <c r="A1490" s="476"/>
      <c r="B1490" s="277" t="s">
        <v>153</v>
      </c>
      <c r="C1490" s="278" t="s">
        <v>1964</v>
      </c>
      <c r="D1490" s="278">
        <v>12</v>
      </c>
      <c r="E1490" s="277">
        <v>69097515</v>
      </c>
      <c r="F1490" s="277"/>
      <c r="G1490" s="112" t="s">
        <v>1956</v>
      </c>
      <c r="H1490" s="278">
        <v>12</v>
      </c>
      <c r="I1490" s="277">
        <v>70452834</v>
      </c>
      <c r="J1490" s="113"/>
      <c r="K1490" s="114"/>
      <c r="L1490" s="149"/>
    </row>
    <row r="1491" spans="1:12" x14ac:dyDescent="0.25">
      <c r="A1491" s="476"/>
      <c r="B1491" s="277" t="s">
        <v>153</v>
      </c>
      <c r="C1491" s="278" t="s">
        <v>1954</v>
      </c>
      <c r="D1491" s="278">
        <v>12</v>
      </c>
      <c r="E1491" s="277">
        <v>69104264</v>
      </c>
      <c r="F1491" s="277"/>
      <c r="G1491" s="112" t="s">
        <v>1956</v>
      </c>
      <c r="H1491" s="278">
        <v>12</v>
      </c>
      <c r="I1491" s="277">
        <v>128083150</v>
      </c>
      <c r="J1491" s="113"/>
      <c r="K1491" s="114"/>
      <c r="L1491" s="149"/>
    </row>
    <row r="1492" spans="1:12" x14ac:dyDescent="0.25">
      <c r="A1492" s="476"/>
      <c r="B1492" s="277" t="s">
        <v>153</v>
      </c>
      <c r="C1492" s="278" t="s">
        <v>1954</v>
      </c>
      <c r="D1492" s="278">
        <v>12</v>
      </c>
      <c r="E1492" s="277">
        <v>69108929</v>
      </c>
      <c r="F1492" s="277"/>
      <c r="G1492" s="112" t="s">
        <v>1956</v>
      </c>
      <c r="H1492" s="278">
        <v>12</v>
      </c>
      <c r="I1492" s="277">
        <v>69612990</v>
      </c>
      <c r="J1492" s="113"/>
      <c r="K1492" s="114"/>
      <c r="L1492" s="149"/>
    </row>
    <row r="1493" spans="1:12" x14ac:dyDescent="0.25">
      <c r="A1493" s="476"/>
      <c r="B1493" s="277" t="s">
        <v>153</v>
      </c>
      <c r="C1493" s="278" t="s">
        <v>1964</v>
      </c>
      <c r="D1493" s="278">
        <v>12</v>
      </c>
      <c r="E1493" s="277">
        <v>69110588</v>
      </c>
      <c r="F1493" s="277"/>
      <c r="G1493" s="112" t="s">
        <v>1956</v>
      </c>
      <c r="H1493" s="278">
        <v>12</v>
      </c>
      <c r="I1493" s="277">
        <v>71071424</v>
      </c>
      <c r="J1493" s="113"/>
      <c r="K1493" s="114"/>
      <c r="L1493" s="149"/>
    </row>
    <row r="1494" spans="1:12" x14ac:dyDescent="0.25">
      <c r="A1494" s="476"/>
      <c r="B1494" s="277" t="s">
        <v>153</v>
      </c>
      <c r="C1494" s="278" t="s">
        <v>1964</v>
      </c>
      <c r="D1494" s="278">
        <v>12</v>
      </c>
      <c r="E1494" s="277">
        <v>69111209</v>
      </c>
      <c r="F1494" s="277"/>
      <c r="G1494" s="112" t="s">
        <v>1956</v>
      </c>
      <c r="H1494" s="278">
        <v>12</v>
      </c>
      <c r="I1494" s="277">
        <v>69514199</v>
      </c>
      <c r="J1494" s="113"/>
      <c r="K1494" s="114"/>
      <c r="L1494" s="149"/>
    </row>
    <row r="1495" spans="1:12" x14ac:dyDescent="0.25">
      <c r="A1495" s="476"/>
      <c r="B1495" s="277" t="s">
        <v>153</v>
      </c>
      <c r="C1495" s="278" t="s">
        <v>1964</v>
      </c>
      <c r="D1495" s="278">
        <v>12</v>
      </c>
      <c r="E1495" s="277">
        <v>69121324</v>
      </c>
      <c r="F1495" s="277"/>
      <c r="G1495" s="112" t="s">
        <v>1956</v>
      </c>
      <c r="H1495" s="278">
        <v>12</v>
      </c>
      <c r="I1495" s="277">
        <v>69638569</v>
      </c>
      <c r="J1495" s="113"/>
      <c r="K1495" s="114"/>
      <c r="L1495" s="149"/>
    </row>
    <row r="1496" spans="1:12" x14ac:dyDescent="0.25">
      <c r="A1496" s="476"/>
      <c r="B1496" s="277" t="s">
        <v>153</v>
      </c>
      <c r="C1496" s="278" t="s">
        <v>1964</v>
      </c>
      <c r="D1496" s="278">
        <v>12</v>
      </c>
      <c r="E1496" s="277">
        <v>69131453</v>
      </c>
      <c r="F1496" s="277"/>
      <c r="G1496" s="112" t="s">
        <v>1956</v>
      </c>
      <c r="H1496" s="278">
        <v>12</v>
      </c>
      <c r="I1496" s="277">
        <v>69775373</v>
      </c>
      <c r="J1496" s="113"/>
      <c r="K1496" s="114"/>
      <c r="L1496" s="149"/>
    </row>
    <row r="1497" spans="1:12" x14ac:dyDescent="0.25">
      <c r="A1497" s="476"/>
      <c r="B1497" s="277" t="s">
        <v>153</v>
      </c>
      <c r="C1497" s="278" t="s">
        <v>1964</v>
      </c>
      <c r="D1497" s="278">
        <v>12</v>
      </c>
      <c r="E1497" s="277">
        <v>69135759</v>
      </c>
      <c r="F1497" s="277"/>
      <c r="G1497" s="112" t="s">
        <v>1956</v>
      </c>
      <c r="H1497" s="278">
        <v>12</v>
      </c>
      <c r="I1497" s="277">
        <v>69207455</v>
      </c>
      <c r="J1497" s="113"/>
      <c r="K1497" s="114"/>
      <c r="L1497" s="149"/>
    </row>
    <row r="1498" spans="1:12" x14ac:dyDescent="0.25">
      <c r="A1498" s="476"/>
      <c r="B1498" s="277" t="s">
        <v>153</v>
      </c>
      <c r="C1498" s="278" t="s">
        <v>1960</v>
      </c>
      <c r="D1498" s="278">
        <v>12</v>
      </c>
      <c r="E1498" s="277">
        <v>69144395</v>
      </c>
      <c r="F1498" s="277"/>
      <c r="G1498" s="112" t="s">
        <v>1956</v>
      </c>
      <c r="H1498" s="278">
        <v>12</v>
      </c>
      <c r="I1498" s="277">
        <v>69749609</v>
      </c>
      <c r="J1498" s="113"/>
      <c r="K1498" s="114"/>
      <c r="L1498" s="149"/>
    </row>
    <row r="1499" spans="1:12" x14ac:dyDescent="0.25">
      <c r="A1499" s="476"/>
      <c r="B1499" s="277" t="s">
        <v>153</v>
      </c>
      <c r="C1499" s="278" t="s">
        <v>1964</v>
      </c>
      <c r="D1499" s="278">
        <v>12</v>
      </c>
      <c r="E1499" s="277">
        <v>69151764</v>
      </c>
      <c r="F1499" s="277"/>
      <c r="G1499" s="112" t="s">
        <v>1956</v>
      </c>
      <c r="H1499" s="278">
        <v>12</v>
      </c>
      <c r="I1499" s="277">
        <v>70651265</v>
      </c>
      <c r="J1499" s="113"/>
      <c r="K1499" s="114"/>
      <c r="L1499" s="149"/>
    </row>
    <row r="1500" spans="1:12" x14ac:dyDescent="0.25">
      <c r="A1500" s="476"/>
      <c r="B1500" s="277" t="s">
        <v>153</v>
      </c>
      <c r="C1500" s="278" t="s">
        <v>1954</v>
      </c>
      <c r="D1500" s="278">
        <v>12</v>
      </c>
      <c r="E1500" s="277">
        <v>69157944</v>
      </c>
      <c r="F1500" s="277"/>
      <c r="G1500" s="112" t="s">
        <v>1956</v>
      </c>
      <c r="H1500" s="278">
        <v>12</v>
      </c>
      <c r="I1500" s="277">
        <v>69782920</v>
      </c>
      <c r="J1500" s="113"/>
      <c r="K1500" s="114"/>
      <c r="L1500" s="149"/>
    </row>
    <row r="1501" spans="1:12" x14ac:dyDescent="0.25">
      <c r="A1501" s="476"/>
      <c r="B1501" s="277" t="s">
        <v>153</v>
      </c>
      <c r="C1501" s="278" t="s">
        <v>1954</v>
      </c>
      <c r="D1501" s="278">
        <v>12</v>
      </c>
      <c r="E1501" s="277">
        <v>69169294</v>
      </c>
      <c r="F1501" s="277"/>
      <c r="G1501" s="112" t="s">
        <v>1956</v>
      </c>
      <c r="H1501" s="278">
        <v>12</v>
      </c>
      <c r="I1501" s="277">
        <v>69175377</v>
      </c>
      <c r="J1501" s="113"/>
      <c r="K1501" s="114"/>
      <c r="L1501" s="149"/>
    </row>
    <row r="1502" spans="1:12" x14ac:dyDescent="0.25">
      <c r="A1502" s="476"/>
      <c r="B1502" s="277" t="s">
        <v>153</v>
      </c>
      <c r="C1502" s="278" t="s">
        <v>1954</v>
      </c>
      <c r="D1502" s="278">
        <v>12</v>
      </c>
      <c r="E1502" s="277">
        <v>69176876</v>
      </c>
      <c r="F1502" s="277"/>
      <c r="G1502" s="112" t="s">
        <v>1956</v>
      </c>
      <c r="H1502" s="278">
        <v>12</v>
      </c>
      <c r="I1502" s="277">
        <v>69526397</v>
      </c>
      <c r="J1502" s="113"/>
      <c r="K1502" s="114"/>
      <c r="L1502" s="149"/>
    </row>
    <row r="1503" spans="1:12" x14ac:dyDescent="0.25">
      <c r="A1503" s="476"/>
      <c r="B1503" s="277" t="s">
        <v>153</v>
      </c>
      <c r="C1503" s="278" t="s">
        <v>1954</v>
      </c>
      <c r="D1503" s="278">
        <v>12</v>
      </c>
      <c r="E1503" s="277">
        <v>69182280</v>
      </c>
      <c r="F1503" s="277"/>
      <c r="G1503" s="112" t="s">
        <v>1956</v>
      </c>
      <c r="H1503" s="278">
        <v>12</v>
      </c>
      <c r="I1503" s="277">
        <v>69752466</v>
      </c>
      <c r="J1503" s="113"/>
      <c r="K1503" s="114"/>
      <c r="L1503" s="149"/>
    </row>
    <row r="1504" spans="1:12" x14ac:dyDescent="0.25">
      <c r="A1504" s="476"/>
      <c r="B1504" s="277" t="s">
        <v>153</v>
      </c>
      <c r="C1504" s="278" t="s">
        <v>1954</v>
      </c>
      <c r="D1504" s="278">
        <v>12</v>
      </c>
      <c r="E1504" s="277">
        <v>69200731</v>
      </c>
      <c r="F1504" s="277"/>
      <c r="G1504" s="112" t="s">
        <v>1956</v>
      </c>
      <c r="H1504" s="278">
        <v>12</v>
      </c>
      <c r="I1504" s="277">
        <v>128646829</v>
      </c>
      <c r="J1504" s="113"/>
      <c r="K1504" s="114"/>
      <c r="L1504" s="149"/>
    </row>
    <row r="1505" spans="1:12" x14ac:dyDescent="0.25">
      <c r="A1505" s="476"/>
      <c r="B1505" s="277" t="s">
        <v>153</v>
      </c>
      <c r="C1505" s="278" t="s">
        <v>1960</v>
      </c>
      <c r="D1505" s="278">
        <v>12</v>
      </c>
      <c r="E1505" s="277">
        <v>69200944</v>
      </c>
      <c r="F1505" s="277"/>
      <c r="G1505" s="112" t="s">
        <v>1956</v>
      </c>
      <c r="H1505" s="278">
        <v>12</v>
      </c>
      <c r="I1505" s="277">
        <v>69787704</v>
      </c>
      <c r="J1505" s="113"/>
      <c r="K1505" s="114"/>
      <c r="L1505" s="149"/>
    </row>
    <row r="1506" spans="1:12" x14ac:dyDescent="0.25">
      <c r="A1506" s="476"/>
      <c r="B1506" s="277" t="s">
        <v>153</v>
      </c>
      <c r="C1506" s="278" t="s">
        <v>1964</v>
      </c>
      <c r="D1506" s="278">
        <v>12</v>
      </c>
      <c r="E1506" s="277">
        <v>69200948</v>
      </c>
      <c r="F1506" s="277"/>
      <c r="G1506" s="112" t="s">
        <v>1956</v>
      </c>
      <c r="H1506" s="278">
        <v>12</v>
      </c>
      <c r="I1506" s="277">
        <v>69568275</v>
      </c>
      <c r="J1506" s="113"/>
      <c r="K1506" s="114"/>
      <c r="L1506" s="149"/>
    </row>
    <row r="1507" spans="1:12" x14ac:dyDescent="0.25">
      <c r="A1507" s="476"/>
      <c r="B1507" s="277" t="s">
        <v>153</v>
      </c>
      <c r="C1507" s="278" t="s">
        <v>1954</v>
      </c>
      <c r="D1507" s="278">
        <v>12</v>
      </c>
      <c r="E1507" s="277">
        <v>69207006</v>
      </c>
      <c r="F1507" s="277"/>
      <c r="G1507" s="112" t="s">
        <v>1956</v>
      </c>
      <c r="H1507" s="278">
        <v>12</v>
      </c>
      <c r="I1507" s="277">
        <v>69325933</v>
      </c>
      <c r="J1507" s="113"/>
      <c r="K1507" s="114"/>
      <c r="L1507" s="149"/>
    </row>
    <row r="1508" spans="1:12" x14ac:dyDescent="0.25">
      <c r="A1508" s="476"/>
      <c r="B1508" s="277" t="s">
        <v>153</v>
      </c>
      <c r="C1508" s="278" t="s">
        <v>1960</v>
      </c>
      <c r="D1508" s="278">
        <v>12</v>
      </c>
      <c r="E1508" s="277">
        <v>69207801</v>
      </c>
      <c r="F1508" s="277"/>
      <c r="G1508" s="112" t="s">
        <v>1956</v>
      </c>
      <c r="H1508" s="278">
        <v>12</v>
      </c>
      <c r="I1508" s="277">
        <v>69751095</v>
      </c>
      <c r="J1508" s="113"/>
      <c r="K1508" s="114"/>
      <c r="L1508" s="149"/>
    </row>
    <row r="1509" spans="1:12" x14ac:dyDescent="0.25">
      <c r="A1509" s="476"/>
      <c r="B1509" s="277" t="s">
        <v>153</v>
      </c>
      <c r="C1509" s="278" t="s">
        <v>1960</v>
      </c>
      <c r="D1509" s="278">
        <v>12</v>
      </c>
      <c r="E1509" s="277">
        <v>69213835</v>
      </c>
      <c r="F1509" s="277"/>
      <c r="G1509" s="112" t="s">
        <v>1956</v>
      </c>
      <c r="H1509" s="278">
        <v>12</v>
      </c>
      <c r="I1509" s="277">
        <v>69552368</v>
      </c>
      <c r="J1509" s="113"/>
      <c r="K1509" s="114"/>
      <c r="L1509" s="149"/>
    </row>
    <row r="1510" spans="1:12" x14ac:dyDescent="0.25">
      <c r="A1510" s="476"/>
      <c r="B1510" s="277" t="s">
        <v>153</v>
      </c>
      <c r="C1510" s="278" t="s">
        <v>1954</v>
      </c>
      <c r="D1510" s="278">
        <v>12</v>
      </c>
      <c r="E1510" s="277">
        <v>69214072</v>
      </c>
      <c r="F1510" s="277"/>
      <c r="G1510" s="112" t="s">
        <v>1956</v>
      </c>
      <c r="H1510" s="278">
        <v>12</v>
      </c>
      <c r="I1510" s="277">
        <v>70135693</v>
      </c>
      <c r="J1510" s="113"/>
      <c r="K1510" s="114"/>
      <c r="L1510" s="149"/>
    </row>
    <row r="1511" spans="1:12" x14ac:dyDescent="0.25">
      <c r="A1511" s="476"/>
      <c r="B1511" s="277" t="s">
        <v>153</v>
      </c>
      <c r="C1511" s="278" t="s">
        <v>1960</v>
      </c>
      <c r="D1511" s="278">
        <v>12</v>
      </c>
      <c r="E1511" s="277">
        <v>69218003</v>
      </c>
      <c r="F1511" s="277"/>
      <c r="G1511" s="112" t="s">
        <v>1956</v>
      </c>
      <c r="H1511" s="278">
        <v>12</v>
      </c>
      <c r="I1511" s="277">
        <v>128570258</v>
      </c>
      <c r="J1511" s="113"/>
      <c r="K1511" s="114"/>
      <c r="L1511" s="149"/>
    </row>
    <row r="1512" spans="1:12" x14ac:dyDescent="0.25">
      <c r="A1512" s="476"/>
      <c r="B1512" s="277" t="s">
        <v>153</v>
      </c>
      <c r="C1512" s="278" t="s">
        <v>1960</v>
      </c>
      <c r="D1512" s="278">
        <v>12</v>
      </c>
      <c r="E1512" s="277">
        <v>69218295</v>
      </c>
      <c r="F1512" s="277"/>
      <c r="G1512" s="112" t="s">
        <v>1956</v>
      </c>
      <c r="H1512" s="278">
        <v>12</v>
      </c>
      <c r="I1512" s="277">
        <v>128636237</v>
      </c>
      <c r="J1512" s="113"/>
      <c r="K1512" s="114"/>
      <c r="L1512" s="149"/>
    </row>
    <row r="1513" spans="1:12" x14ac:dyDescent="0.25">
      <c r="A1513" s="476"/>
      <c r="B1513" s="277" t="s">
        <v>153</v>
      </c>
      <c r="C1513" s="278" t="s">
        <v>1964</v>
      </c>
      <c r="D1513" s="278">
        <v>12</v>
      </c>
      <c r="E1513" s="277">
        <v>69219948</v>
      </c>
      <c r="F1513" s="277"/>
      <c r="G1513" s="112" t="s">
        <v>1956</v>
      </c>
      <c r="H1513" s="278">
        <v>12</v>
      </c>
      <c r="I1513" s="277">
        <v>128608435</v>
      </c>
      <c r="J1513" s="113"/>
      <c r="K1513" s="114"/>
      <c r="L1513" s="149"/>
    </row>
    <row r="1514" spans="1:12" x14ac:dyDescent="0.25">
      <c r="A1514" s="476"/>
      <c r="B1514" s="277" t="s">
        <v>153</v>
      </c>
      <c r="C1514" s="278" t="s">
        <v>1960</v>
      </c>
      <c r="D1514" s="278">
        <v>12</v>
      </c>
      <c r="E1514" s="277">
        <v>69223050</v>
      </c>
      <c r="F1514" s="277"/>
      <c r="G1514" s="112" t="s">
        <v>1956</v>
      </c>
      <c r="H1514" s="278">
        <v>12</v>
      </c>
      <c r="I1514" s="277">
        <v>71241615</v>
      </c>
      <c r="J1514" s="113"/>
      <c r="K1514" s="114"/>
      <c r="L1514" s="149"/>
    </row>
    <row r="1515" spans="1:12" x14ac:dyDescent="0.25">
      <c r="A1515" s="476"/>
      <c r="B1515" s="277" t="s">
        <v>153</v>
      </c>
      <c r="C1515" s="278" t="s">
        <v>1964</v>
      </c>
      <c r="D1515" s="278">
        <v>12</v>
      </c>
      <c r="E1515" s="277">
        <v>69228838</v>
      </c>
      <c r="F1515" s="277"/>
      <c r="G1515" s="112" t="s">
        <v>1956</v>
      </c>
      <c r="H1515" s="278">
        <v>12</v>
      </c>
      <c r="I1515" s="277">
        <v>71193567</v>
      </c>
      <c r="J1515" s="113"/>
      <c r="K1515" s="114"/>
      <c r="L1515" s="149"/>
    </row>
    <row r="1516" spans="1:12" x14ac:dyDescent="0.25">
      <c r="A1516" s="476"/>
      <c r="B1516" s="277" t="s">
        <v>153</v>
      </c>
      <c r="C1516" s="278" t="s">
        <v>1964</v>
      </c>
      <c r="D1516" s="278">
        <v>12</v>
      </c>
      <c r="E1516" s="277">
        <v>69234472</v>
      </c>
      <c r="F1516" s="277"/>
      <c r="G1516" s="112" t="s">
        <v>1956</v>
      </c>
      <c r="H1516" s="278">
        <v>12</v>
      </c>
      <c r="I1516" s="277">
        <v>128686708</v>
      </c>
      <c r="J1516" s="113"/>
      <c r="K1516" s="114"/>
      <c r="L1516" s="149"/>
    </row>
    <row r="1517" spans="1:12" x14ac:dyDescent="0.25">
      <c r="A1517" s="476"/>
      <c r="B1517" s="277" t="s">
        <v>153</v>
      </c>
      <c r="C1517" s="278" t="s">
        <v>1954</v>
      </c>
      <c r="D1517" s="278">
        <v>12</v>
      </c>
      <c r="E1517" s="277">
        <v>69240018</v>
      </c>
      <c r="F1517" s="277"/>
      <c r="G1517" s="112" t="s">
        <v>1956</v>
      </c>
      <c r="H1517" s="278">
        <v>12</v>
      </c>
      <c r="I1517" s="277">
        <v>71173439</v>
      </c>
      <c r="J1517" s="113"/>
      <c r="K1517" s="114"/>
      <c r="L1517" s="149"/>
    </row>
    <row r="1518" spans="1:12" x14ac:dyDescent="0.25">
      <c r="A1518" s="476"/>
      <c r="B1518" s="277" t="s">
        <v>153</v>
      </c>
      <c r="C1518" s="278" t="s">
        <v>1964</v>
      </c>
      <c r="D1518" s="278">
        <v>12</v>
      </c>
      <c r="E1518" s="277">
        <v>69240659</v>
      </c>
      <c r="F1518" s="277"/>
      <c r="G1518" s="112" t="s">
        <v>1956</v>
      </c>
      <c r="H1518" s="278">
        <v>12</v>
      </c>
      <c r="I1518" s="277">
        <v>71259152</v>
      </c>
      <c r="J1518" s="113"/>
      <c r="K1518" s="114"/>
      <c r="L1518" s="149"/>
    </row>
    <row r="1519" spans="1:12" x14ac:dyDescent="0.25">
      <c r="A1519" s="476"/>
      <c r="B1519" s="277" t="s">
        <v>153</v>
      </c>
      <c r="C1519" s="278" t="s">
        <v>1964</v>
      </c>
      <c r="D1519" s="278">
        <v>12</v>
      </c>
      <c r="E1519" s="277">
        <v>69248694</v>
      </c>
      <c r="F1519" s="277"/>
      <c r="G1519" s="112" t="s">
        <v>1956</v>
      </c>
      <c r="H1519" s="278">
        <v>12</v>
      </c>
      <c r="I1519" s="277">
        <v>128057196</v>
      </c>
      <c r="J1519" s="113"/>
      <c r="K1519" s="114"/>
      <c r="L1519" s="149"/>
    </row>
    <row r="1520" spans="1:12" x14ac:dyDescent="0.25">
      <c r="A1520" s="476"/>
      <c r="B1520" s="277" t="s">
        <v>153</v>
      </c>
      <c r="C1520" s="278" t="s">
        <v>1954</v>
      </c>
      <c r="D1520" s="278">
        <v>12</v>
      </c>
      <c r="E1520" s="277">
        <v>69258785</v>
      </c>
      <c r="F1520" s="277"/>
      <c r="G1520" s="112" t="s">
        <v>1956</v>
      </c>
      <c r="H1520" s="278">
        <v>12</v>
      </c>
      <c r="I1520" s="277">
        <v>128402526</v>
      </c>
      <c r="J1520" s="113"/>
      <c r="K1520" s="114"/>
      <c r="L1520" s="149"/>
    </row>
    <row r="1521" spans="1:12" x14ac:dyDescent="0.25">
      <c r="A1521" s="476"/>
      <c r="B1521" s="277" t="s">
        <v>153</v>
      </c>
      <c r="C1521" s="278" t="s">
        <v>1964</v>
      </c>
      <c r="D1521" s="278">
        <v>12</v>
      </c>
      <c r="E1521" s="277">
        <v>69269099</v>
      </c>
      <c r="F1521" s="277"/>
      <c r="G1521" s="112" t="s">
        <v>1956</v>
      </c>
      <c r="H1521" s="278">
        <v>12</v>
      </c>
      <c r="I1521" s="277">
        <v>71198531</v>
      </c>
      <c r="J1521" s="113"/>
      <c r="K1521" s="114"/>
      <c r="L1521" s="149"/>
    </row>
    <row r="1522" spans="1:12" x14ac:dyDescent="0.25">
      <c r="A1522" s="476"/>
      <c r="B1522" s="277" t="s">
        <v>153</v>
      </c>
      <c r="C1522" s="278" t="s">
        <v>1964</v>
      </c>
      <c r="D1522" s="278">
        <v>12</v>
      </c>
      <c r="E1522" s="277">
        <v>69280527</v>
      </c>
      <c r="F1522" s="277"/>
      <c r="G1522" s="112" t="s">
        <v>1956</v>
      </c>
      <c r="H1522" s="278">
        <v>12</v>
      </c>
      <c r="I1522" s="277">
        <v>69471518</v>
      </c>
      <c r="J1522" s="113"/>
      <c r="K1522" s="114"/>
      <c r="L1522" s="149"/>
    </row>
    <row r="1523" spans="1:12" x14ac:dyDescent="0.25">
      <c r="A1523" s="476"/>
      <c r="B1523" s="277" t="s">
        <v>153</v>
      </c>
      <c r="C1523" s="278" t="s">
        <v>1964</v>
      </c>
      <c r="D1523" s="278">
        <v>12</v>
      </c>
      <c r="E1523" s="277">
        <v>69288923</v>
      </c>
      <c r="F1523" s="277"/>
      <c r="G1523" s="112" t="s">
        <v>1956</v>
      </c>
      <c r="H1523" s="278">
        <v>12</v>
      </c>
      <c r="I1523" s="277">
        <v>71173956</v>
      </c>
      <c r="J1523" s="113"/>
      <c r="K1523" s="114"/>
      <c r="L1523" s="149"/>
    </row>
    <row r="1524" spans="1:12" x14ac:dyDescent="0.25">
      <c r="A1524" s="476"/>
      <c r="B1524" s="277" t="s">
        <v>153</v>
      </c>
      <c r="C1524" s="278" t="s">
        <v>1960</v>
      </c>
      <c r="D1524" s="278">
        <v>12</v>
      </c>
      <c r="E1524" s="277">
        <v>69289506</v>
      </c>
      <c r="F1524" s="277"/>
      <c r="G1524" s="112" t="s">
        <v>1956</v>
      </c>
      <c r="H1524" s="278">
        <v>12</v>
      </c>
      <c r="I1524" s="277">
        <v>71219374</v>
      </c>
      <c r="J1524" s="113"/>
      <c r="K1524" s="114"/>
      <c r="L1524" s="149"/>
    </row>
    <row r="1525" spans="1:12" x14ac:dyDescent="0.25">
      <c r="A1525" s="476"/>
      <c r="B1525" s="277" t="s">
        <v>153</v>
      </c>
      <c r="C1525" s="278" t="s">
        <v>1960</v>
      </c>
      <c r="D1525" s="278">
        <v>12</v>
      </c>
      <c r="E1525" s="277">
        <v>69315414</v>
      </c>
      <c r="F1525" s="277"/>
      <c r="G1525" s="112" t="s">
        <v>1956</v>
      </c>
      <c r="H1525" s="278">
        <v>12</v>
      </c>
      <c r="I1525" s="277">
        <v>71218479</v>
      </c>
      <c r="J1525" s="113"/>
      <c r="K1525" s="114"/>
      <c r="L1525" s="149"/>
    </row>
    <row r="1526" spans="1:12" x14ac:dyDescent="0.25">
      <c r="A1526" s="476"/>
      <c r="B1526" s="277" t="s">
        <v>153</v>
      </c>
      <c r="C1526" s="278" t="s">
        <v>1960</v>
      </c>
      <c r="D1526" s="278">
        <v>12</v>
      </c>
      <c r="E1526" s="277">
        <v>69324293</v>
      </c>
      <c r="F1526" s="277"/>
      <c r="G1526" s="112" t="s">
        <v>1956</v>
      </c>
      <c r="H1526" s="278">
        <v>12</v>
      </c>
      <c r="I1526" s="277">
        <v>70313814</v>
      </c>
      <c r="J1526" s="113"/>
      <c r="K1526" s="114"/>
      <c r="L1526" s="149"/>
    </row>
    <row r="1527" spans="1:12" x14ac:dyDescent="0.25">
      <c r="A1527" s="476"/>
      <c r="B1527" s="277" t="s">
        <v>153</v>
      </c>
      <c r="C1527" s="278" t="s">
        <v>1964</v>
      </c>
      <c r="D1527" s="278">
        <v>12</v>
      </c>
      <c r="E1527" s="277">
        <v>69326772</v>
      </c>
      <c r="F1527" s="277"/>
      <c r="G1527" s="112" t="s">
        <v>1956</v>
      </c>
      <c r="H1527" s="278">
        <v>12</v>
      </c>
      <c r="I1527" s="277">
        <v>69750881</v>
      </c>
      <c r="J1527" s="113"/>
      <c r="K1527" s="114"/>
      <c r="L1527" s="149"/>
    </row>
    <row r="1528" spans="1:12" x14ac:dyDescent="0.25">
      <c r="A1528" s="476"/>
      <c r="B1528" s="277" t="s">
        <v>153</v>
      </c>
      <c r="C1528" s="278" t="s">
        <v>1964</v>
      </c>
      <c r="D1528" s="278">
        <v>12</v>
      </c>
      <c r="E1528" s="277">
        <v>69328367</v>
      </c>
      <c r="F1528" s="277"/>
      <c r="G1528" s="112" t="s">
        <v>1956</v>
      </c>
      <c r="H1528" s="278">
        <v>12</v>
      </c>
      <c r="I1528" s="277">
        <v>69506527</v>
      </c>
      <c r="J1528" s="113"/>
      <c r="K1528" s="114"/>
      <c r="L1528" s="149"/>
    </row>
    <row r="1529" spans="1:12" x14ac:dyDescent="0.25">
      <c r="A1529" s="476"/>
      <c r="B1529" s="277" t="s">
        <v>153</v>
      </c>
      <c r="C1529" s="278" t="s">
        <v>1960</v>
      </c>
      <c r="D1529" s="278">
        <v>12</v>
      </c>
      <c r="E1529" s="277">
        <v>69338582</v>
      </c>
      <c r="F1529" s="277"/>
      <c r="G1529" s="112" t="s">
        <v>1956</v>
      </c>
      <c r="H1529" s="278">
        <v>12</v>
      </c>
      <c r="I1529" s="277">
        <v>128544651</v>
      </c>
      <c r="J1529" s="113"/>
      <c r="K1529" s="114"/>
      <c r="L1529" s="149"/>
    </row>
    <row r="1530" spans="1:12" x14ac:dyDescent="0.25">
      <c r="A1530" s="476"/>
      <c r="B1530" s="277" t="s">
        <v>153</v>
      </c>
      <c r="C1530" s="278" t="s">
        <v>1964</v>
      </c>
      <c r="D1530" s="278">
        <v>12</v>
      </c>
      <c r="E1530" s="277">
        <v>69356328</v>
      </c>
      <c r="F1530" s="277"/>
      <c r="G1530" s="112" t="s">
        <v>1956</v>
      </c>
      <c r="H1530" s="278">
        <v>12</v>
      </c>
      <c r="I1530" s="277">
        <v>70088776</v>
      </c>
      <c r="J1530" s="113"/>
      <c r="K1530" s="114"/>
      <c r="L1530" s="149"/>
    </row>
    <row r="1531" spans="1:12" x14ac:dyDescent="0.25">
      <c r="A1531" s="476"/>
      <c r="B1531" s="277" t="s">
        <v>153</v>
      </c>
      <c r="C1531" s="278" t="s">
        <v>1964</v>
      </c>
      <c r="D1531" s="278">
        <v>12</v>
      </c>
      <c r="E1531" s="277">
        <v>69370417</v>
      </c>
      <c r="F1531" s="277"/>
      <c r="G1531" s="112" t="s">
        <v>1956</v>
      </c>
      <c r="H1531" s="278">
        <v>12</v>
      </c>
      <c r="I1531" s="277">
        <v>69641184</v>
      </c>
      <c r="J1531" s="113"/>
      <c r="K1531" s="114"/>
      <c r="L1531" s="149"/>
    </row>
    <row r="1532" spans="1:12" x14ac:dyDescent="0.25">
      <c r="A1532" s="476"/>
      <c r="B1532" s="277" t="s">
        <v>153</v>
      </c>
      <c r="C1532" s="278" t="s">
        <v>1964</v>
      </c>
      <c r="D1532" s="278">
        <v>12</v>
      </c>
      <c r="E1532" s="277">
        <v>69395875</v>
      </c>
      <c r="F1532" s="277"/>
      <c r="G1532" s="112" t="s">
        <v>1956</v>
      </c>
      <c r="H1532" s="278">
        <v>12</v>
      </c>
      <c r="I1532" s="277">
        <v>70311397</v>
      </c>
      <c r="J1532" s="113"/>
      <c r="K1532" s="114"/>
      <c r="L1532" s="149"/>
    </row>
    <row r="1533" spans="1:12" x14ac:dyDescent="0.25">
      <c r="A1533" s="476"/>
      <c r="B1533" s="277" t="s">
        <v>153</v>
      </c>
      <c r="C1533" s="278" t="s">
        <v>1964</v>
      </c>
      <c r="D1533" s="278">
        <v>12</v>
      </c>
      <c r="E1533" s="277">
        <v>69403579</v>
      </c>
      <c r="F1533" s="277"/>
      <c r="G1533" s="112" t="s">
        <v>1956</v>
      </c>
      <c r="H1533" s="278">
        <v>12</v>
      </c>
      <c r="I1533" s="277">
        <v>69608496</v>
      </c>
      <c r="J1533" s="113"/>
      <c r="K1533" s="114"/>
      <c r="L1533" s="149"/>
    </row>
    <row r="1534" spans="1:12" x14ac:dyDescent="0.25">
      <c r="A1534" s="476"/>
      <c r="B1534" s="277" t="s">
        <v>153</v>
      </c>
      <c r="C1534" s="278" t="s">
        <v>1964</v>
      </c>
      <c r="D1534" s="278">
        <v>12</v>
      </c>
      <c r="E1534" s="277">
        <v>69416665</v>
      </c>
      <c r="F1534" s="277"/>
      <c r="G1534" s="112" t="s">
        <v>1956</v>
      </c>
      <c r="H1534" s="278">
        <v>12</v>
      </c>
      <c r="I1534" s="277">
        <v>69529133</v>
      </c>
      <c r="J1534" s="113"/>
      <c r="K1534" s="114"/>
      <c r="L1534" s="149"/>
    </row>
    <row r="1535" spans="1:12" x14ac:dyDescent="0.25">
      <c r="A1535" s="476"/>
      <c r="B1535" s="277" t="s">
        <v>153</v>
      </c>
      <c r="C1535" s="278" t="s">
        <v>1954</v>
      </c>
      <c r="D1535" s="278">
        <v>12</v>
      </c>
      <c r="E1535" s="277">
        <v>69432539</v>
      </c>
      <c r="F1535" s="277"/>
      <c r="G1535" s="112" t="s">
        <v>1956</v>
      </c>
      <c r="H1535" s="278">
        <v>12</v>
      </c>
      <c r="I1535" s="277">
        <v>128511274</v>
      </c>
      <c r="J1535" s="113"/>
      <c r="K1535" s="114"/>
      <c r="L1535" s="149"/>
    </row>
    <row r="1536" spans="1:12" x14ac:dyDescent="0.25">
      <c r="A1536" s="476"/>
      <c r="B1536" s="277" t="s">
        <v>153</v>
      </c>
      <c r="C1536" s="278" t="s">
        <v>1964</v>
      </c>
      <c r="D1536" s="278">
        <v>12</v>
      </c>
      <c r="E1536" s="277">
        <v>69442754</v>
      </c>
      <c r="F1536" s="277"/>
      <c r="G1536" s="112" t="s">
        <v>1956</v>
      </c>
      <c r="H1536" s="278">
        <v>12</v>
      </c>
      <c r="I1536" s="277">
        <v>128235608</v>
      </c>
      <c r="J1536" s="113"/>
      <c r="K1536" s="114"/>
      <c r="L1536" s="149"/>
    </row>
    <row r="1537" spans="1:12" x14ac:dyDescent="0.25">
      <c r="A1537" s="476"/>
      <c r="B1537" s="277" t="s">
        <v>153</v>
      </c>
      <c r="C1537" s="278" t="s">
        <v>1964</v>
      </c>
      <c r="D1537" s="278">
        <v>12</v>
      </c>
      <c r="E1537" s="277">
        <v>69447821</v>
      </c>
      <c r="F1537" s="277"/>
      <c r="G1537" s="112" t="s">
        <v>1956</v>
      </c>
      <c r="H1537" s="278">
        <v>12</v>
      </c>
      <c r="I1537" s="277">
        <v>128443080</v>
      </c>
      <c r="J1537" s="113"/>
      <c r="K1537" s="114"/>
      <c r="L1537" s="149"/>
    </row>
    <row r="1538" spans="1:12" x14ac:dyDescent="0.25">
      <c r="A1538" s="476"/>
      <c r="B1538" s="277" t="s">
        <v>153</v>
      </c>
      <c r="C1538" s="278" t="s">
        <v>1964</v>
      </c>
      <c r="D1538" s="278">
        <v>12</v>
      </c>
      <c r="E1538" s="277">
        <v>69449384</v>
      </c>
      <c r="F1538" s="277"/>
      <c r="G1538" s="112" t="s">
        <v>1956</v>
      </c>
      <c r="H1538" s="278">
        <v>12</v>
      </c>
      <c r="I1538" s="277">
        <v>69694555</v>
      </c>
      <c r="J1538" s="113"/>
      <c r="K1538" s="114"/>
      <c r="L1538" s="149"/>
    </row>
    <row r="1539" spans="1:12" x14ac:dyDescent="0.25">
      <c r="A1539" s="476"/>
      <c r="B1539" s="277" t="s">
        <v>153</v>
      </c>
      <c r="C1539" s="278" t="s">
        <v>1964</v>
      </c>
      <c r="D1539" s="278">
        <v>12</v>
      </c>
      <c r="E1539" s="277">
        <v>69452000</v>
      </c>
      <c r="F1539" s="277"/>
      <c r="G1539" s="112" t="s">
        <v>1956</v>
      </c>
      <c r="H1539" s="278">
        <v>12</v>
      </c>
      <c r="I1539" s="277">
        <v>70068667</v>
      </c>
      <c r="J1539" s="113"/>
      <c r="K1539" s="114"/>
      <c r="L1539" s="149"/>
    </row>
    <row r="1540" spans="1:12" x14ac:dyDescent="0.25">
      <c r="A1540" s="476"/>
      <c r="B1540" s="277" t="s">
        <v>153</v>
      </c>
      <c r="C1540" s="278" t="s">
        <v>1964</v>
      </c>
      <c r="D1540" s="278">
        <v>12</v>
      </c>
      <c r="E1540" s="277">
        <v>69470689</v>
      </c>
      <c r="F1540" s="277"/>
      <c r="G1540" s="112" t="s">
        <v>1956</v>
      </c>
      <c r="H1540" s="278">
        <v>12</v>
      </c>
      <c r="I1540" s="277">
        <v>69978118</v>
      </c>
      <c r="J1540" s="113"/>
      <c r="K1540" s="114"/>
      <c r="L1540" s="149"/>
    </row>
    <row r="1541" spans="1:12" x14ac:dyDescent="0.25">
      <c r="A1541" s="476"/>
      <c r="B1541" s="277" t="s">
        <v>153</v>
      </c>
      <c r="C1541" s="278" t="s">
        <v>1964</v>
      </c>
      <c r="D1541" s="278">
        <v>12</v>
      </c>
      <c r="E1541" s="277">
        <v>69472513</v>
      </c>
      <c r="F1541" s="277"/>
      <c r="G1541" s="112" t="s">
        <v>1956</v>
      </c>
      <c r="H1541" s="278">
        <v>12</v>
      </c>
      <c r="I1541" s="277">
        <v>70068660</v>
      </c>
      <c r="J1541" s="113"/>
      <c r="K1541" s="114"/>
      <c r="L1541" s="149"/>
    </row>
    <row r="1542" spans="1:12" x14ac:dyDescent="0.25">
      <c r="A1542" s="476"/>
      <c r="B1542" s="277" t="s">
        <v>153</v>
      </c>
      <c r="C1542" s="278" t="s">
        <v>1964</v>
      </c>
      <c r="D1542" s="278">
        <v>12</v>
      </c>
      <c r="E1542" s="277">
        <v>69472645</v>
      </c>
      <c r="F1542" s="277"/>
      <c r="G1542" s="112" t="s">
        <v>1956</v>
      </c>
      <c r="H1542" s="278">
        <v>12</v>
      </c>
      <c r="I1542" s="277">
        <v>128410522</v>
      </c>
      <c r="J1542" s="113"/>
      <c r="K1542" s="114"/>
      <c r="L1542" s="149"/>
    </row>
    <row r="1543" spans="1:12" x14ac:dyDescent="0.25">
      <c r="A1543" s="476"/>
      <c r="B1543" s="277" t="s">
        <v>153</v>
      </c>
      <c r="C1543" s="278" t="s">
        <v>1960</v>
      </c>
      <c r="D1543" s="278">
        <v>12</v>
      </c>
      <c r="E1543" s="277">
        <v>69473474</v>
      </c>
      <c r="F1543" s="277"/>
      <c r="G1543" s="112" t="s">
        <v>1956</v>
      </c>
      <c r="H1543" s="278">
        <v>12</v>
      </c>
      <c r="I1543" s="277">
        <v>69675675</v>
      </c>
      <c r="J1543" s="113"/>
      <c r="K1543" s="114"/>
      <c r="L1543" s="149"/>
    </row>
    <row r="1544" spans="1:12" x14ac:dyDescent="0.25">
      <c r="A1544" s="476"/>
      <c r="B1544" s="277" t="s">
        <v>153</v>
      </c>
      <c r="C1544" s="278" t="s">
        <v>1964</v>
      </c>
      <c r="D1544" s="278">
        <v>12</v>
      </c>
      <c r="E1544" s="277">
        <v>69481457</v>
      </c>
      <c r="F1544" s="277"/>
      <c r="G1544" s="112" t="s">
        <v>1956</v>
      </c>
      <c r="H1544" s="278">
        <v>12</v>
      </c>
      <c r="I1544" s="277">
        <v>69514172</v>
      </c>
      <c r="J1544" s="113"/>
      <c r="K1544" s="114"/>
      <c r="L1544" s="149"/>
    </row>
    <row r="1545" spans="1:12" x14ac:dyDescent="0.25">
      <c r="A1545" s="476"/>
      <c r="B1545" s="277" t="s">
        <v>153</v>
      </c>
      <c r="C1545" s="278" t="s">
        <v>1964</v>
      </c>
      <c r="D1545" s="278">
        <v>12</v>
      </c>
      <c r="E1545" s="277">
        <v>69481836</v>
      </c>
      <c r="F1545" s="277"/>
      <c r="G1545" s="112" t="s">
        <v>1956</v>
      </c>
      <c r="H1545" s="278">
        <v>12</v>
      </c>
      <c r="I1545" s="277">
        <v>128053820</v>
      </c>
      <c r="J1545" s="113"/>
      <c r="K1545" s="114"/>
      <c r="L1545" s="149"/>
    </row>
    <row r="1546" spans="1:12" x14ac:dyDescent="0.25">
      <c r="A1546" s="476"/>
      <c r="B1546" s="277" t="s">
        <v>153</v>
      </c>
      <c r="C1546" s="278" t="s">
        <v>1964</v>
      </c>
      <c r="D1546" s="278">
        <v>12</v>
      </c>
      <c r="E1546" s="277">
        <v>69485968</v>
      </c>
      <c r="F1546" s="277"/>
      <c r="G1546" s="112" t="s">
        <v>1956</v>
      </c>
      <c r="H1546" s="278">
        <v>12</v>
      </c>
      <c r="I1546" s="277">
        <v>69733238</v>
      </c>
      <c r="J1546" s="113"/>
      <c r="K1546" s="114"/>
      <c r="L1546" s="149"/>
    </row>
    <row r="1547" spans="1:12" x14ac:dyDescent="0.25">
      <c r="A1547" s="476"/>
      <c r="B1547" s="277" t="s">
        <v>153</v>
      </c>
      <c r="C1547" s="278" t="s">
        <v>1960</v>
      </c>
      <c r="D1547" s="278">
        <v>12</v>
      </c>
      <c r="E1547" s="277">
        <v>69489204</v>
      </c>
      <c r="F1547" s="277"/>
      <c r="G1547" s="112" t="s">
        <v>1956</v>
      </c>
      <c r="H1547" s="278">
        <v>12</v>
      </c>
      <c r="I1547" s="277">
        <v>70137932</v>
      </c>
      <c r="J1547" s="113"/>
      <c r="K1547" s="114"/>
      <c r="L1547" s="149"/>
    </row>
    <row r="1548" spans="1:12" x14ac:dyDescent="0.25">
      <c r="A1548" s="476"/>
      <c r="B1548" s="277" t="s">
        <v>153</v>
      </c>
      <c r="C1548" s="278" t="s">
        <v>1964</v>
      </c>
      <c r="D1548" s="278">
        <v>12</v>
      </c>
      <c r="E1548" s="277">
        <v>69490639</v>
      </c>
      <c r="F1548" s="277"/>
      <c r="G1548" s="112" t="s">
        <v>1956</v>
      </c>
      <c r="H1548" s="278">
        <v>12</v>
      </c>
      <c r="I1548" s="277">
        <v>70213549</v>
      </c>
      <c r="J1548" s="113"/>
      <c r="K1548" s="114"/>
      <c r="L1548" s="149"/>
    </row>
    <row r="1549" spans="1:12" x14ac:dyDescent="0.25">
      <c r="A1549" s="476"/>
      <c r="B1549" s="277" t="s">
        <v>153</v>
      </c>
      <c r="C1549" s="278" t="s">
        <v>1964</v>
      </c>
      <c r="D1549" s="278">
        <v>12</v>
      </c>
      <c r="E1549" s="277">
        <v>69491123</v>
      </c>
      <c r="F1549" s="277"/>
      <c r="G1549" s="112" t="s">
        <v>1956</v>
      </c>
      <c r="H1549" s="278">
        <v>12</v>
      </c>
      <c r="I1549" s="277">
        <v>69952244</v>
      </c>
      <c r="J1549" s="113"/>
      <c r="K1549" s="114"/>
      <c r="L1549" s="149"/>
    </row>
    <row r="1550" spans="1:12" x14ac:dyDescent="0.25">
      <c r="A1550" s="476"/>
      <c r="B1550" s="277" t="s">
        <v>153</v>
      </c>
      <c r="C1550" s="278" t="s">
        <v>1954</v>
      </c>
      <c r="D1550" s="278">
        <v>12</v>
      </c>
      <c r="E1550" s="277">
        <v>69507731</v>
      </c>
      <c r="F1550" s="277"/>
      <c r="G1550" s="112" t="s">
        <v>1956</v>
      </c>
      <c r="H1550" s="278">
        <v>12</v>
      </c>
      <c r="I1550" s="277">
        <v>69557552</v>
      </c>
      <c r="J1550" s="113"/>
      <c r="K1550" s="114"/>
      <c r="L1550" s="149"/>
    </row>
    <row r="1551" spans="1:12" x14ac:dyDescent="0.25">
      <c r="A1551" s="476"/>
      <c r="B1551" s="277" t="s">
        <v>153</v>
      </c>
      <c r="C1551" s="278" t="s">
        <v>1964</v>
      </c>
      <c r="D1551" s="278">
        <v>12</v>
      </c>
      <c r="E1551" s="277">
        <v>69508080</v>
      </c>
      <c r="F1551" s="277"/>
      <c r="G1551" s="112" t="s">
        <v>1956</v>
      </c>
      <c r="H1551" s="278">
        <v>12</v>
      </c>
      <c r="I1551" s="277">
        <v>69722633</v>
      </c>
      <c r="J1551" s="113"/>
      <c r="K1551" s="114"/>
      <c r="L1551" s="149"/>
    </row>
    <row r="1552" spans="1:12" x14ac:dyDescent="0.25">
      <c r="A1552" s="476"/>
      <c r="B1552" s="277" t="s">
        <v>153</v>
      </c>
      <c r="C1552" s="278" t="s">
        <v>1964</v>
      </c>
      <c r="D1552" s="278">
        <v>12</v>
      </c>
      <c r="E1552" s="277">
        <v>69509261</v>
      </c>
      <c r="F1552" s="277"/>
      <c r="G1552" s="112" t="s">
        <v>1956</v>
      </c>
      <c r="H1552" s="278">
        <v>12</v>
      </c>
      <c r="I1552" s="277">
        <v>69805453</v>
      </c>
      <c r="J1552" s="113"/>
      <c r="K1552" s="114"/>
      <c r="L1552" s="149"/>
    </row>
    <row r="1553" spans="1:12" x14ac:dyDescent="0.25">
      <c r="A1553" s="476"/>
      <c r="B1553" s="277" t="s">
        <v>153</v>
      </c>
      <c r="C1553" s="278" t="s">
        <v>1954</v>
      </c>
      <c r="D1553" s="278">
        <v>12</v>
      </c>
      <c r="E1553" s="277">
        <v>69511698</v>
      </c>
      <c r="F1553" s="277"/>
      <c r="G1553" s="112" t="s">
        <v>1956</v>
      </c>
      <c r="H1553" s="278">
        <v>12</v>
      </c>
      <c r="I1553" s="277">
        <v>69644684</v>
      </c>
      <c r="J1553" s="113"/>
      <c r="K1553" s="114"/>
      <c r="L1553" s="149"/>
    </row>
    <row r="1554" spans="1:12" x14ac:dyDescent="0.25">
      <c r="A1554" s="476"/>
      <c r="B1554" s="277" t="s">
        <v>153</v>
      </c>
      <c r="C1554" s="278" t="s">
        <v>1954</v>
      </c>
      <c r="D1554" s="278">
        <v>12</v>
      </c>
      <c r="E1554" s="277">
        <v>69520100</v>
      </c>
      <c r="F1554" s="277"/>
      <c r="G1554" s="112" t="s">
        <v>1956</v>
      </c>
      <c r="H1554" s="278">
        <v>12</v>
      </c>
      <c r="I1554" s="277">
        <v>128629789</v>
      </c>
      <c r="J1554" s="113"/>
      <c r="K1554" s="114"/>
      <c r="L1554" s="149"/>
    </row>
    <row r="1555" spans="1:12" x14ac:dyDescent="0.25">
      <c r="A1555" s="476"/>
      <c r="B1555" s="277" t="s">
        <v>153</v>
      </c>
      <c r="C1555" s="278" t="s">
        <v>1960</v>
      </c>
      <c r="D1555" s="278">
        <v>12</v>
      </c>
      <c r="E1555" s="277">
        <v>69520406</v>
      </c>
      <c r="F1555" s="277"/>
      <c r="G1555" s="112" t="s">
        <v>1956</v>
      </c>
      <c r="H1555" s="278">
        <v>12</v>
      </c>
      <c r="I1555" s="277">
        <v>69984940</v>
      </c>
      <c r="J1555" s="113"/>
      <c r="K1555" s="114"/>
      <c r="L1555" s="149"/>
    </row>
    <row r="1556" spans="1:12" x14ac:dyDescent="0.25">
      <c r="A1556" s="476"/>
      <c r="B1556" s="277" t="s">
        <v>153</v>
      </c>
      <c r="C1556" s="278" t="s">
        <v>1960</v>
      </c>
      <c r="D1556" s="278">
        <v>12</v>
      </c>
      <c r="E1556" s="277">
        <v>69520503</v>
      </c>
      <c r="F1556" s="277"/>
      <c r="G1556" s="112" t="s">
        <v>1956</v>
      </c>
      <c r="H1556" s="278">
        <v>12</v>
      </c>
      <c r="I1556" s="277">
        <v>70383957</v>
      </c>
      <c r="J1556" s="113"/>
      <c r="K1556" s="114"/>
      <c r="L1556" s="149"/>
    </row>
    <row r="1557" spans="1:12" x14ac:dyDescent="0.25">
      <c r="A1557" s="476"/>
      <c r="B1557" s="277" t="s">
        <v>153</v>
      </c>
      <c r="C1557" s="278" t="s">
        <v>1954</v>
      </c>
      <c r="D1557" s="278">
        <v>12</v>
      </c>
      <c r="E1557" s="277">
        <v>69522354</v>
      </c>
      <c r="F1557" s="277"/>
      <c r="G1557" s="112" t="s">
        <v>1956</v>
      </c>
      <c r="H1557" s="278">
        <v>12</v>
      </c>
      <c r="I1557" s="277">
        <v>128637276</v>
      </c>
      <c r="J1557" s="113"/>
      <c r="K1557" s="114"/>
      <c r="L1557" s="149"/>
    </row>
    <row r="1558" spans="1:12" x14ac:dyDescent="0.25">
      <c r="A1558" s="476"/>
      <c r="B1558" s="277" t="s">
        <v>153</v>
      </c>
      <c r="C1558" s="278" t="s">
        <v>1964</v>
      </c>
      <c r="D1558" s="278">
        <v>12</v>
      </c>
      <c r="E1558" s="277">
        <v>69522849</v>
      </c>
      <c r="F1558" s="277"/>
      <c r="G1558" s="112" t="s">
        <v>1956</v>
      </c>
      <c r="H1558" s="278">
        <v>12</v>
      </c>
      <c r="I1558" s="277">
        <v>71187761</v>
      </c>
      <c r="J1558" s="113"/>
      <c r="K1558" s="114"/>
      <c r="L1558" s="149"/>
    </row>
    <row r="1559" spans="1:12" x14ac:dyDescent="0.25">
      <c r="A1559" s="476"/>
      <c r="B1559" s="277" t="s">
        <v>153</v>
      </c>
      <c r="C1559" s="278" t="s">
        <v>1954</v>
      </c>
      <c r="D1559" s="278">
        <v>12</v>
      </c>
      <c r="E1559" s="277">
        <v>69522923</v>
      </c>
      <c r="F1559" s="277"/>
      <c r="G1559" s="112" t="s">
        <v>1956</v>
      </c>
      <c r="H1559" s="278">
        <v>12</v>
      </c>
      <c r="I1559" s="277">
        <v>128628784</v>
      </c>
      <c r="J1559" s="113"/>
      <c r="K1559" s="114"/>
      <c r="L1559" s="149"/>
    </row>
    <row r="1560" spans="1:12" x14ac:dyDescent="0.25">
      <c r="A1560" s="476"/>
      <c r="B1560" s="277" t="s">
        <v>153</v>
      </c>
      <c r="C1560" s="278" t="s">
        <v>1960</v>
      </c>
      <c r="D1560" s="278">
        <v>12</v>
      </c>
      <c r="E1560" s="277">
        <v>69524819</v>
      </c>
      <c r="F1560" s="277"/>
      <c r="G1560" s="112" t="s">
        <v>1956</v>
      </c>
      <c r="H1560" s="278">
        <v>12</v>
      </c>
      <c r="I1560" s="277">
        <v>128656154</v>
      </c>
      <c r="J1560" s="113"/>
      <c r="K1560" s="114"/>
      <c r="L1560" s="149"/>
    </row>
    <row r="1561" spans="1:12" x14ac:dyDescent="0.25">
      <c r="A1561" s="476"/>
      <c r="B1561" s="277" t="s">
        <v>153</v>
      </c>
      <c r="C1561" s="278" t="s">
        <v>1964</v>
      </c>
      <c r="D1561" s="278">
        <v>12</v>
      </c>
      <c r="E1561" s="277">
        <v>69530418</v>
      </c>
      <c r="F1561" s="277"/>
      <c r="G1561" s="112" t="s">
        <v>1956</v>
      </c>
      <c r="H1561" s="278">
        <v>12</v>
      </c>
      <c r="I1561" s="277">
        <v>128539163</v>
      </c>
      <c r="J1561" s="113"/>
      <c r="K1561" s="114"/>
      <c r="L1561" s="149"/>
    </row>
    <row r="1562" spans="1:12" x14ac:dyDescent="0.25">
      <c r="A1562" s="476"/>
      <c r="B1562" s="277" t="s">
        <v>153</v>
      </c>
      <c r="C1562" s="278" t="s">
        <v>1964</v>
      </c>
      <c r="D1562" s="278">
        <v>12</v>
      </c>
      <c r="E1562" s="277">
        <v>69531990</v>
      </c>
      <c r="F1562" s="277"/>
      <c r="G1562" s="112" t="s">
        <v>1956</v>
      </c>
      <c r="H1562" s="278">
        <v>12</v>
      </c>
      <c r="I1562" s="277">
        <v>69637736</v>
      </c>
      <c r="J1562" s="113"/>
      <c r="K1562" s="114"/>
      <c r="L1562" s="149"/>
    </row>
    <row r="1563" spans="1:12" x14ac:dyDescent="0.25">
      <c r="A1563" s="476"/>
      <c r="B1563" s="277" t="s">
        <v>153</v>
      </c>
      <c r="C1563" s="278" t="s">
        <v>1954</v>
      </c>
      <c r="D1563" s="278">
        <v>12</v>
      </c>
      <c r="E1563" s="277">
        <v>69536591</v>
      </c>
      <c r="F1563" s="277"/>
      <c r="G1563" s="112" t="s">
        <v>1956</v>
      </c>
      <c r="H1563" s="278">
        <v>12</v>
      </c>
      <c r="I1563" s="277">
        <v>128536075</v>
      </c>
      <c r="J1563" s="113"/>
      <c r="K1563" s="114"/>
      <c r="L1563" s="149"/>
    </row>
    <row r="1564" spans="1:12" x14ac:dyDescent="0.25">
      <c r="A1564" s="476"/>
      <c r="B1564" s="277" t="s">
        <v>153</v>
      </c>
      <c r="C1564" s="278" t="s">
        <v>1960</v>
      </c>
      <c r="D1564" s="278">
        <v>12</v>
      </c>
      <c r="E1564" s="277">
        <v>69544274</v>
      </c>
      <c r="F1564" s="277"/>
      <c r="G1564" s="112" t="s">
        <v>1956</v>
      </c>
      <c r="H1564" s="278">
        <v>12</v>
      </c>
      <c r="I1564" s="277">
        <v>71150956</v>
      </c>
      <c r="J1564" s="113"/>
      <c r="K1564" s="114"/>
      <c r="L1564" s="149"/>
    </row>
    <row r="1565" spans="1:12" x14ac:dyDescent="0.25">
      <c r="A1565" s="476"/>
      <c r="B1565" s="277" t="s">
        <v>153</v>
      </c>
      <c r="C1565" s="278" t="s">
        <v>1954</v>
      </c>
      <c r="D1565" s="278">
        <v>12</v>
      </c>
      <c r="E1565" s="277">
        <v>69545414</v>
      </c>
      <c r="F1565" s="277"/>
      <c r="G1565" s="112" t="s">
        <v>1956</v>
      </c>
      <c r="H1565" s="278">
        <v>12</v>
      </c>
      <c r="I1565" s="277">
        <v>69629501</v>
      </c>
      <c r="J1565" s="113"/>
      <c r="K1565" s="114"/>
      <c r="L1565" s="149"/>
    </row>
    <row r="1566" spans="1:12" x14ac:dyDescent="0.25">
      <c r="A1566" s="476"/>
      <c r="B1566" s="277" t="s">
        <v>153</v>
      </c>
      <c r="C1566" s="278" t="s">
        <v>1960</v>
      </c>
      <c r="D1566" s="278">
        <v>12</v>
      </c>
      <c r="E1566" s="277">
        <v>69552593</v>
      </c>
      <c r="F1566" s="277"/>
      <c r="G1566" s="112" t="s">
        <v>1956</v>
      </c>
      <c r="H1566" s="278">
        <v>12</v>
      </c>
      <c r="I1566" s="277">
        <v>128535441</v>
      </c>
      <c r="J1566" s="113"/>
      <c r="K1566" s="114"/>
      <c r="L1566" s="149"/>
    </row>
    <row r="1567" spans="1:12" x14ac:dyDescent="0.25">
      <c r="A1567" s="476"/>
      <c r="B1567" s="277" t="s">
        <v>153</v>
      </c>
      <c r="C1567" s="278" t="s">
        <v>1964</v>
      </c>
      <c r="D1567" s="278">
        <v>12</v>
      </c>
      <c r="E1567" s="277">
        <v>69558607</v>
      </c>
      <c r="F1567" s="277"/>
      <c r="G1567" s="112" t="s">
        <v>1956</v>
      </c>
      <c r="H1567" s="278">
        <v>12</v>
      </c>
      <c r="I1567" s="277">
        <v>70252335</v>
      </c>
      <c r="J1567" s="113"/>
      <c r="K1567" s="114"/>
      <c r="L1567" s="149"/>
    </row>
    <row r="1568" spans="1:12" x14ac:dyDescent="0.25">
      <c r="A1568" s="476"/>
      <c r="B1568" s="277" t="s">
        <v>153</v>
      </c>
      <c r="C1568" s="278" t="s">
        <v>1960</v>
      </c>
      <c r="D1568" s="278">
        <v>12</v>
      </c>
      <c r="E1568" s="277">
        <v>69559741</v>
      </c>
      <c r="F1568" s="277"/>
      <c r="G1568" s="112" t="s">
        <v>1956</v>
      </c>
      <c r="H1568" s="278">
        <v>12</v>
      </c>
      <c r="I1568" s="277">
        <v>128634324</v>
      </c>
      <c r="J1568" s="113"/>
      <c r="K1568" s="114"/>
      <c r="L1568" s="149"/>
    </row>
    <row r="1569" spans="1:12" x14ac:dyDescent="0.25">
      <c r="A1569" s="476"/>
      <c r="B1569" s="277" t="s">
        <v>153</v>
      </c>
      <c r="C1569" s="278" t="s">
        <v>1960</v>
      </c>
      <c r="D1569" s="278">
        <v>12</v>
      </c>
      <c r="E1569" s="277">
        <v>69569565</v>
      </c>
      <c r="F1569" s="277"/>
      <c r="G1569" s="112" t="s">
        <v>1956</v>
      </c>
      <c r="H1569" s="278">
        <v>12</v>
      </c>
      <c r="I1569" s="277">
        <v>69955717</v>
      </c>
      <c r="J1569" s="113"/>
      <c r="K1569" s="114"/>
      <c r="L1569" s="149"/>
    </row>
    <row r="1570" spans="1:12" x14ac:dyDescent="0.25">
      <c r="A1570" s="476"/>
      <c r="B1570" s="277" t="s">
        <v>153</v>
      </c>
      <c r="C1570" s="278" t="s">
        <v>1964</v>
      </c>
      <c r="D1570" s="278">
        <v>12</v>
      </c>
      <c r="E1570" s="277">
        <v>69572260</v>
      </c>
      <c r="F1570" s="277"/>
      <c r="G1570" s="112" t="s">
        <v>1956</v>
      </c>
      <c r="H1570" s="278">
        <v>12</v>
      </c>
      <c r="I1570" s="277">
        <v>128551119</v>
      </c>
      <c r="J1570" s="113"/>
      <c r="K1570" s="114"/>
      <c r="L1570" s="149"/>
    </row>
    <row r="1571" spans="1:12" x14ac:dyDescent="0.25">
      <c r="A1571" s="476"/>
      <c r="B1571" s="277" t="s">
        <v>153</v>
      </c>
      <c r="C1571" s="278" t="s">
        <v>1964</v>
      </c>
      <c r="D1571" s="278">
        <v>12</v>
      </c>
      <c r="E1571" s="277">
        <v>69574970</v>
      </c>
      <c r="F1571" s="277"/>
      <c r="G1571" s="112" t="s">
        <v>1956</v>
      </c>
      <c r="H1571" s="278">
        <v>12</v>
      </c>
      <c r="I1571" s="277">
        <v>70381182</v>
      </c>
      <c r="J1571" s="113"/>
      <c r="K1571" s="114"/>
      <c r="L1571" s="149"/>
    </row>
    <row r="1572" spans="1:12" x14ac:dyDescent="0.25">
      <c r="A1572" s="476"/>
      <c r="B1572" s="277" t="s">
        <v>153</v>
      </c>
      <c r="C1572" s="278" t="s">
        <v>1964</v>
      </c>
      <c r="D1572" s="278">
        <v>12</v>
      </c>
      <c r="E1572" s="277">
        <v>69575019</v>
      </c>
      <c r="F1572" s="277"/>
      <c r="G1572" s="112" t="s">
        <v>1956</v>
      </c>
      <c r="H1572" s="278">
        <v>12</v>
      </c>
      <c r="I1572" s="277">
        <v>70068171</v>
      </c>
      <c r="J1572" s="113"/>
      <c r="K1572" s="114"/>
      <c r="L1572" s="149"/>
    </row>
    <row r="1573" spans="1:12" x14ac:dyDescent="0.25">
      <c r="A1573" s="476"/>
      <c r="B1573" s="277" t="s">
        <v>153</v>
      </c>
      <c r="C1573" s="278" t="s">
        <v>1964</v>
      </c>
      <c r="D1573" s="278">
        <v>12</v>
      </c>
      <c r="E1573" s="277">
        <v>69593654</v>
      </c>
      <c r="F1573" s="277"/>
      <c r="G1573" s="112" t="s">
        <v>1956</v>
      </c>
      <c r="H1573" s="278">
        <v>12</v>
      </c>
      <c r="I1573" s="277">
        <v>69667102</v>
      </c>
      <c r="J1573" s="113"/>
      <c r="K1573" s="114"/>
      <c r="L1573" s="149"/>
    </row>
    <row r="1574" spans="1:12" x14ac:dyDescent="0.25">
      <c r="A1574" s="476"/>
      <c r="B1574" s="277" t="s">
        <v>153</v>
      </c>
      <c r="C1574" s="278" t="s">
        <v>1960</v>
      </c>
      <c r="D1574" s="278">
        <v>12</v>
      </c>
      <c r="E1574" s="277">
        <v>69595342</v>
      </c>
      <c r="F1574" s="277"/>
      <c r="G1574" s="112" t="s">
        <v>1956</v>
      </c>
      <c r="H1574" s="278">
        <v>12</v>
      </c>
      <c r="I1574" s="277">
        <v>70854861</v>
      </c>
      <c r="J1574" s="113"/>
      <c r="K1574" s="114"/>
      <c r="L1574" s="149"/>
    </row>
    <row r="1575" spans="1:12" x14ac:dyDescent="0.25">
      <c r="A1575" s="476"/>
      <c r="B1575" s="277" t="s">
        <v>153</v>
      </c>
      <c r="C1575" s="278" t="s">
        <v>1960</v>
      </c>
      <c r="D1575" s="278">
        <v>12</v>
      </c>
      <c r="E1575" s="277">
        <v>69598271</v>
      </c>
      <c r="F1575" s="277"/>
      <c r="G1575" s="112" t="s">
        <v>1956</v>
      </c>
      <c r="H1575" s="278">
        <v>12</v>
      </c>
      <c r="I1575" s="277">
        <v>69679634</v>
      </c>
      <c r="J1575" s="113"/>
      <c r="K1575" s="114"/>
      <c r="L1575" s="149"/>
    </row>
    <row r="1576" spans="1:12" x14ac:dyDescent="0.25">
      <c r="A1576" s="476"/>
      <c r="B1576" s="277" t="s">
        <v>153</v>
      </c>
      <c r="C1576" s="278" t="s">
        <v>1964</v>
      </c>
      <c r="D1576" s="278">
        <v>12</v>
      </c>
      <c r="E1576" s="277">
        <v>69600806</v>
      </c>
      <c r="F1576" s="277"/>
      <c r="G1576" s="112" t="s">
        <v>1956</v>
      </c>
      <c r="H1576" s="278">
        <v>12</v>
      </c>
      <c r="I1576" s="277">
        <v>128630436</v>
      </c>
      <c r="J1576" s="113"/>
      <c r="K1576" s="114"/>
      <c r="L1576" s="149"/>
    </row>
    <row r="1577" spans="1:12" x14ac:dyDescent="0.25">
      <c r="A1577" s="476"/>
      <c r="B1577" s="277" t="s">
        <v>153</v>
      </c>
      <c r="C1577" s="278" t="s">
        <v>1964</v>
      </c>
      <c r="D1577" s="278">
        <v>12</v>
      </c>
      <c r="E1577" s="277">
        <v>69602289</v>
      </c>
      <c r="F1577" s="277"/>
      <c r="G1577" s="112" t="s">
        <v>1956</v>
      </c>
      <c r="H1577" s="278">
        <v>12</v>
      </c>
      <c r="I1577" s="277">
        <v>128589331</v>
      </c>
      <c r="J1577" s="113"/>
      <c r="K1577" s="114"/>
      <c r="L1577" s="149"/>
    </row>
    <row r="1578" spans="1:12" x14ac:dyDescent="0.25">
      <c r="A1578" s="476"/>
      <c r="B1578" s="277" t="s">
        <v>153</v>
      </c>
      <c r="C1578" s="278" t="s">
        <v>1954</v>
      </c>
      <c r="D1578" s="278">
        <v>12</v>
      </c>
      <c r="E1578" s="277">
        <v>69608462</v>
      </c>
      <c r="F1578" s="277"/>
      <c r="G1578" s="112" t="s">
        <v>1956</v>
      </c>
      <c r="H1578" s="278">
        <v>12</v>
      </c>
      <c r="I1578" s="277">
        <v>69752614</v>
      </c>
      <c r="J1578" s="113"/>
      <c r="K1578" s="114"/>
      <c r="L1578" s="149"/>
    </row>
    <row r="1579" spans="1:12" x14ac:dyDescent="0.25">
      <c r="A1579" s="476"/>
      <c r="B1579" s="277" t="s">
        <v>153</v>
      </c>
      <c r="C1579" s="278" t="s">
        <v>1964</v>
      </c>
      <c r="D1579" s="278">
        <v>12</v>
      </c>
      <c r="E1579" s="277">
        <v>69613569</v>
      </c>
      <c r="F1579" s="277"/>
      <c r="G1579" s="112" t="s">
        <v>1956</v>
      </c>
      <c r="H1579" s="278">
        <v>12</v>
      </c>
      <c r="I1579" s="277">
        <v>128107116</v>
      </c>
      <c r="J1579" s="113"/>
      <c r="K1579" s="114"/>
      <c r="L1579" s="149"/>
    </row>
    <row r="1580" spans="1:12" x14ac:dyDescent="0.25">
      <c r="A1580" s="476"/>
      <c r="B1580" s="277" t="s">
        <v>153</v>
      </c>
      <c r="C1580" s="278" t="s">
        <v>1964</v>
      </c>
      <c r="D1580" s="278">
        <v>12</v>
      </c>
      <c r="E1580" s="277">
        <v>69632633</v>
      </c>
      <c r="F1580" s="277"/>
      <c r="G1580" s="112" t="s">
        <v>1956</v>
      </c>
      <c r="H1580" s="278">
        <v>12</v>
      </c>
      <c r="I1580" s="277">
        <v>69933955</v>
      </c>
      <c r="J1580" s="113"/>
      <c r="K1580" s="114"/>
      <c r="L1580" s="149"/>
    </row>
    <row r="1581" spans="1:12" x14ac:dyDescent="0.25">
      <c r="A1581" s="476"/>
      <c r="B1581" s="277" t="s">
        <v>153</v>
      </c>
      <c r="C1581" s="278" t="s">
        <v>1964</v>
      </c>
      <c r="D1581" s="278">
        <v>12</v>
      </c>
      <c r="E1581" s="277">
        <v>69633193</v>
      </c>
      <c r="F1581" s="277"/>
      <c r="G1581" s="112" t="s">
        <v>1956</v>
      </c>
      <c r="H1581" s="278">
        <v>12</v>
      </c>
      <c r="I1581" s="277">
        <v>128132080</v>
      </c>
      <c r="J1581" s="113"/>
      <c r="K1581" s="114"/>
      <c r="L1581" s="149"/>
    </row>
    <row r="1582" spans="1:12" x14ac:dyDescent="0.25">
      <c r="A1582" s="476"/>
      <c r="B1582" s="277" t="s">
        <v>153</v>
      </c>
      <c r="C1582" s="278" t="s">
        <v>1954</v>
      </c>
      <c r="D1582" s="278">
        <v>12</v>
      </c>
      <c r="E1582" s="277">
        <v>69636712</v>
      </c>
      <c r="F1582" s="277"/>
      <c r="G1582" s="112" t="s">
        <v>1956</v>
      </c>
      <c r="H1582" s="278">
        <v>12</v>
      </c>
      <c r="I1582" s="277">
        <v>70373301</v>
      </c>
      <c r="J1582" s="113"/>
      <c r="K1582" s="114"/>
      <c r="L1582" s="149"/>
    </row>
    <row r="1583" spans="1:12" x14ac:dyDescent="0.25">
      <c r="A1583" s="476"/>
      <c r="B1583" s="277" t="s">
        <v>153</v>
      </c>
      <c r="C1583" s="278" t="s">
        <v>1964</v>
      </c>
      <c r="D1583" s="278">
        <v>12</v>
      </c>
      <c r="E1583" s="277">
        <v>69638071</v>
      </c>
      <c r="F1583" s="277"/>
      <c r="G1583" s="112" t="s">
        <v>1956</v>
      </c>
      <c r="H1583" s="278">
        <v>12</v>
      </c>
      <c r="I1583" s="277">
        <v>128129880</v>
      </c>
      <c r="J1583" s="113"/>
      <c r="K1583" s="114"/>
      <c r="L1583" s="149"/>
    </row>
    <row r="1584" spans="1:12" x14ac:dyDescent="0.25">
      <c r="A1584" s="476"/>
      <c r="B1584" s="277" t="s">
        <v>153</v>
      </c>
      <c r="C1584" s="278" t="s">
        <v>1964</v>
      </c>
      <c r="D1584" s="278">
        <v>12</v>
      </c>
      <c r="E1584" s="277">
        <v>69639042</v>
      </c>
      <c r="F1584" s="277"/>
      <c r="G1584" s="112" t="s">
        <v>1956</v>
      </c>
      <c r="H1584" s="278">
        <v>12</v>
      </c>
      <c r="I1584" s="277">
        <v>128476360</v>
      </c>
      <c r="J1584" s="113"/>
      <c r="K1584" s="114"/>
      <c r="L1584" s="149"/>
    </row>
    <row r="1585" spans="1:12" x14ac:dyDescent="0.25">
      <c r="A1585" s="476"/>
      <c r="B1585" s="277" t="s">
        <v>153</v>
      </c>
      <c r="C1585" s="278" t="s">
        <v>1964</v>
      </c>
      <c r="D1585" s="278">
        <v>12</v>
      </c>
      <c r="E1585" s="277">
        <v>69641503</v>
      </c>
      <c r="F1585" s="277"/>
      <c r="G1585" s="112" t="s">
        <v>1956</v>
      </c>
      <c r="H1585" s="278">
        <v>12</v>
      </c>
      <c r="I1585" s="277">
        <v>71247826</v>
      </c>
      <c r="J1585" s="113"/>
      <c r="K1585" s="114"/>
      <c r="L1585" s="149"/>
    </row>
    <row r="1586" spans="1:12" x14ac:dyDescent="0.25">
      <c r="A1586" s="476"/>
      <c r="B1586" s="277" t="s">
        <v>153</v>
      </c>
      <c r="C1586" s="278" t="s">
        <v>1964</v>
      </c>
      <c r="D1586" s="278">
        <v>12</v>
      </c>
      <c r="E1586" s="277">
        <v>69641583</v>
      </c>
      <c r="F1586" s="277"/>
      <c r="G1586" s="112" t="s">
        <v>1956</v>
      </c>
      <c r="H1586" s="278">
        <v>12</v>
      </c>
      <c r="I1586" s="277">
        <v>71239851</v>
      </c>
      <c r="J1586" s="113"/>
      <c r="K1586" s="114"/>
      <c r="L1586" s="149"/>
    </row>
    <row r="1587" spans="1:12" x14ac:dyDescent="0.25">
      <c r="A1587" s="476"/>
      <c r="B1587" s="277" t="s">
        <v>153</v>
      </c>
      <c r="C1587" s="278" t="s">
        <v>1964</v>
      </c>
      <c r="D1587" s="278">
        <v>12</v>
      </c>
      <c r="E1587" s="277">
        <v>69641600</v>
      </c>
      <c r="F1587" s="277"/>
      <c r="G1587" s="112" t="s">
        <v>1956</v>
      </c>
      <c r="H1587" s="278">
        <v>12</v>
      </c>
      <c r="I1587" s="277">
        <v>128468455</v>
      </c>
      <c r="J1587" s="113"/>
      <c r="K1587" s="114"/>
      <c r="L1587" s="149"/>
    </row>
    <row r="1588" spans="1:12" x14ac:dyDescent="0.25">
      <c r="A1588" s="476"/>
      <c r="B1588" s="277" t="s">
        <v>153</v>
      </c>
      <c r="C1588" s="278" t="s">
        <v>1960</v>
      </c>
      <c r="D1588" s="278">
        <v>12</v>
      </c>
      <c r="E1588" s="277">
        <v>69646124</v>
      </c>
      <c r="F1588" s="277"/>
      <c r="G1588" s="112" t="s">
        <v>1956</v>
      </c>
      <c r="H1588" s="278">
        <v>12</v>
      </c>
      <c r="I1588" s="277">
        <v>69797456</v>
      </c>
      <c r="J1588" s="113"/>
      <c r="K1588" s="114"/>
      <c r="L1588" s="149"/>
    </row>
    <row r="1589" spans="1:12" x14ac:dyDescent="0.25">
      <c r="A1589" s="476"/>
      <c r="B1589" s="277" t="s">
        <v>153</v>
      </c>
      <c r="C1589" s="278" t="s">
        <v>1964</v>
      </c>
      <c r="D1589" s="278">
        <v>12</v>
      </c>
      <c r="E1589" s="277">
        <v>69647892</v>
      </c>
      <c r="F1589" s="277"/>
      <c r="G1589" s="112" t="s">
        <v>1956</v>
      </c>
      <c r="H1589" s="278">
        <v>12</v>
      </c>
      <c r="I1589" s="277">
        <v>69696677</v>
      </c>
      <c r="J1589" s="113"/>
      <c r="K1589" s="114"/>
      <c r="L1589" s="149"/>
    </row>
    <row r="1590" spans="1:12" x14ac:dyDescent="0.25">
      <c r="A1590" s="476"/>
      <c r="B1590" s="277" t="s">
        <v>153</v>
      </c>
      <c r="C1590" s="278" t="s">
        <v>1954</v>
      </c>
      <c r="D1590" s="278">
        <v>12</v>
      </c>
      <c r="E1590" s="277">
        <v>69655159</v>
      </c>
      <c r="F1590" s="277"/>
      <c r="G1590" s="112" t="s">
        <v>1956</v>
      </c>
      <c r="H1590" s="278">
        <v>12</v>
      </c>
      <c r="I1590" s="277">
        <v>69985492</v>
      </c>
      <c r="J1590" s="113"/>
      <c r="K1590" s="114"/>
      <c r="L1590" s="149"/>
    </row>
    <row r="1591" spans="1:12" x14ac:dyDescent="0.25">
      <c r="A1591" s="476"/>
      <c r="B1591" s="277" t="s">
        <v>153</v>
      </c>
      <c r="C1591" s="278" t="s">
        <v>1964</v>
      </c>
      <c r="D1591" s="278">
        <v>12</v>
      </c>
      <c r="E1591" s="277">
        <v>69656445</v>
      </c>
      <c r="F1591" s="277"/>
      <c r="G1591" s="112" t="s">
        <v>1956</v>
      </c>
      <c r="H1591" s="278">
        <v>12</v>
      </c>
      <c r="I1591" s="277">
        <v>128600945</v>
      </c>
      <c r="J1591" s="113"/>
      <c r="K1591" s="114"/>
      <c r="L1591" s="149"/>
    </row>
    <row r="1592" spans="1:12" x14ac:dyDescent="0.25">
      <c r="A1592" s="476"/>
      <c r="B1592" s="277" t="s">
        <v>153</v>
      </c>
      <c r="C1592" s="278" t="s">
        <v>1960</v>
      </c>
      <c r="D1592" s="278">
        <v>12</v>
      </c>
      <c r="E1592" s="277">
        <v>69660765</v>
      </c>
      <c r="F1592" s="277"/>
      <c r="G1592" s="112" t="s">
        <v>1956</v>
      </c>
      <c r="H1592" s="278">
        <v>12</v>
      </c>
      <c r="I1592" s="277">
        <v>70055098</v>
      </c>
      <c r="J1592" s="113"/>
      <c r="K1592" s="114"/>
      <c r="L1592" s="149"/>
    </row>
    <row r="1593" spans="1:12" x14ac:dyDescent="0.25">
      <c r="A1593" s="476"/>
      <c r="B1593" s="277" t="s">
        <v>153</v>
      </c>
      <c r="C1593" s="278" t="s">
        <v>1964</v>
      </c>
      <c r="D1593" s="278">
        <v>12</v>
      </c>
      <c r="E1593" s="277">
        <v>69666576</v>
      </c>
      <c r="F1593" s="277"/>
      <c r="G1593" s="112" t="s">
        <v>1956</v>
      </c>
      <c r="H1593" s="278">
        <v>12</v>
      </c>
      <c r="I1593" s="277">
        <v>70021375</v>
      </c>
      <c r="J1593" s="113"/>
      <c r="K1593" s="114"/>
      <c r="L1593" s="149"/>
    </row>
    <row r="1594" spans="1:12" x14ac:dyDescent="0.25">
      <c r="A1594" s="476"/>
      <c r="B1594" s="277" t="s">
        <v>153</v>
      </c>
      <c r="C1594" s="278" t="s">
        <v>1964</v>
      </c>
      <c r="D1594" s="278">
        <v>12</v>
      </c>
      <c r="E1594" s="277">
        <v>69675650</v>
      </c>
      <c r="F1594" s="277"/>
      <c r="G1594" s="112" t="s">
        <v>1956</v>
      </c>
      <c r="H1594" s="278">
        <v>12</v>
      </c>
      <c r="I1594" s="277">
        <v>70445716</v>
      </c>
      <c r="J1594" s="113"/>
      <c r="K1594" s="114"/>
      <c r="L1594" s="149"/>
    </row>
    <row r="1595" spans="1:12" x14ac:dyDescent="0.25">
      <c r="A1595" s="476"/>
      <c r="B1595" s="277" t="s">
        <v>153</v>
      </c>
      <c r="C1595" s="278" t="s">
        <v>1960</v>
      </c>
      <c r="D1595" s="278">
        <v>12</v>
      </c>
      <c r="E1595" s="277">
        <v>69689585</v>
      </c>
      <c r="F1595" s="277"/>
      <c r="G1595" s="112" t="s">
        <v>1956</v>
      </c>
      <c r="H1595" s="278">
        <v>12</v>
      </c>
      <c r="I1595" s="277">
        <v>69985345</v>
      </c>
      <c r="J1595" s="113"/>
      <c r="K1595" s="114"/>
      <c r="L1595" s="149"/>
    </row>
    <row r="1596" spans="1:12" x14ac:dyDescent="0.25">
      <c r="A1596" s="476"/>
      <c r="B1596" s="277" t="s">
        <v>153</v>
      </c>
      <c r="C1596" s="278" t="s">
        <v>1960</v>
      </c>
      <c r="D1596" s="278">
        <v>12</v>
      </c>
      <c r="E1596" s="277">
        <v>69699970</v>
      </c>
      <c r="F1596" s="277"/>
      <c r="G1596" s="112" t="s">
        <v>1956</v>
      </c>
      <c r="H1596" s="278">
        <v>12</v>
      </c>
      <c r="I1596" s="277">
        <v>70069573</v>
      </c>
      <c r="J1596" s="113"/>
      <c r="K1596" s="114"/>
      <c r="L1596" s="149"/>
    </row>
    <row r="1597" spans="1:12" x14ac:dyDescent="0.25">
      <c r="A1597" s="476"/>
      <c r="B1597" s="277" t="s">
        <v>153</v>
      </c>
      <c r="C1597" s="278" t="s">
        <v>1954</v>
      </c>
      <c r="D1597" s="278">
        <v>12</v>
      </c>
      <c r="E1597" s="277">
        <v>69700201</v>
      </c>
      <c r="F1597" s="277"/>
      <c r="G1597" s="112" t="s">
        <v>1956</v>
      </c>
      <c r="H1597" s="278">
        <v>12</v>
      </c>
      <c r="I1597" s="277">
        <v>69728709</v>
      </c>
      <c r="J1597" s="113"/>
      <c r="K1597" s="114"/>
      <c r="L1597" s="149"/>
    </row>
    <row r="1598" spans="1:12" x14ac:dyDescent="0.25">
      <c r="A1598" s="476"/>
      <c r="B1598" s="277" t="s">
        <v>153</v>
      </c>
      <c r="C1598" s="278" t="s">
        <v>1964</v>
      </c>
      <c r="D1598" s="278">
        <v>12</v>
      </c>
      <c r="E1598" s="277">
        <v>69707103</v>
      </c>
      <c r="F1598" s="277"/>
      <c r="G1598" s="112" t="s">
        <v>1956</v>
      </c>
      <c r="H1598" s="278">
        <v>12</v>
      </c>
      <c r="I1598" s="277">
        <v>69720525</v>
      </c>
      <c r="J1598" s="113"/>
      <c r="K1598" s="114"/>
      <c r="L1598" s="149"/>
    </row>
    <row r="1599" spans="1:12" x14ac:dyDescent="0.25">
      <c r="A1599" s="476"/>
      <c r="B1599" s="277" t="s">
        <v>153</v>
      </c>
      <c r="C1599" s="278" t="s">
        <v>1964</v>
      </c>
      <c r="D1599" s="278">
        <v>12</v>
      </c>
      <c r="E1599" s="277">
        <v>69707676</v>
      </c>
      <c r="F1599" s="277"/>
      <c r="G1599" s="112" t="s">
        <v>1956</v>
      </c>
      <c r="H1599" s="278">
        <v>12</v>
      </c>
      <c r="I1599" s="277">
        <v>128169887</v>
      </c>
      <c r="J1599" s="113"/>
      <c r="K1599" s="114"/>
      <c r="L1599" s="149"/>
    </row>
    <row r="1600" spans="1:12" x14ac:dyDescent="0.25">
      <c r="A1600" s="476"/>
      <c r="B1600" s="277" t="s">
        <v>153</v>
      </c>
      <c r="C1600" s="278" t="s">
        <v>1964</v>
      </c>
      <c r="D1600" s="278">
        <v>12</v>
      </c>
      <c r="E1600" s="277">
        <v>69711622</v>
      </c>
      <c r="F1600" s="277"/>
      <c r="G1600" s="112" t="s">
        <v>1956</v>
      </c>
      <c r="H1600" s="278">
        <v>12</v>
      </c>
      <c r="I1600" s="277">
        <v>128169500</v>
      </c>
      <c r="J1600" s="113"/>
      <c r="K1600" s="114"/>
      <c r="L1600" s="149"/>
    </row>
    <row r="1601" spans="1:12" x14ac:dyDescent="0.25">
      <c r="A1601" s="476"/>
      <c r="B1601" s="277" t="s">
        <v>153</v>
      </c>
      <c r="C1601" s="278" t="s">
        <v>1964</v>
      </c>
      <c r="D1601" s="278">
        <v>12</v>
      </c>
      <c r="E1601" s="277">
        <v>69716026</v>
      </c>
      <c r="F1601" s="277"/>
      <c r="G1601" s="112" t="s">
        <v>1956</v>
      </c>
      <c r="H1601" s="278">
        <v>12</v>
      </c>
      <c r="I1601" s="277">
        <v>70211339</v>
      </c>
      <c r="J1601" s="113"/>
      <c r="K1601" s="114"/>
      <c r="L1601" s="149"/>
    </row>
    <row r="1602" spans="1:12" x14ac:dyDescent="0.25">
      <c r="A1602" s="476"/>
      <c r="B1602" s="277" t="s">
        <v>153</v>
      </c>
      <c r="C1602" s="278" t="s">
        <v>1960</v>
      </c>
      <c r="D1602" s="278">
        <v>12</v>
      </c>
      <c r="E1602" s="277">
        <v>69716067</v>
      </c>
      <c r="F1602" s="277"/>
      <c r="G1602" s="112" t="s">
        <v>1956</v>
      </c>
      <c r="H1602" s="278">
        <v>12</v>
      </c>
      <c r="I1602" s="277">
        <v>69974461</v>
      </c>
      <c r="J1602" s="113"/>
      <c r="K1602" s="114"/>
      <c r="L1602" s="149"/>
    </row>
    <row r="1603" spans="1:12" x14ac:dyDescent="0.25">
      <c r="A1603" s="476"/>
      <c r="B1603" s="277" t="s">
        <v>153</v>
      </c>
      <c r="C1603" s="278" t="s">
        <v>1954</v>
      </c>
      <c r="D1603" s="278">
        <v>12</v>
      </c>
      <c r="E1603" s="277">
        <v>69718785</v>
      </c>
      <c r="F1603" s="277"/>
      <c r="G1603" s="112" t="s">
        <v>1956</v>
      </c>
      <c r="H1603" s="278">
        <v>12</v>
      </c>
      <c r="I1603" s="277">
        <v>71178729</v>
      </c>
      <c r="J1603" s="113"/>
      <c r="K1603" s="114"/>
      <c r="L1603" s="149"/>
    </row>
    <row r="1604" spans="1:12" x14ac:dyDescent="0.25">
      <c r="A1604" s="476"/>
      <c r="B1604" s="277" t="s">
        <v>153</v>
      </c>
      <c r="C1604" s="278" t="s">
        <v>1964</v>
      </c>
      <c r="D1604" s="278">
        <v>12</v>
      </c>
      <c r="E1604" s="277">
        <v>69720571</v>
      </c>
      <c r="F1604" s="277"/>
      <c r="G1604" s="112" t="s">
        <v>1956</v>
      </c>
      <c r="H1604" s="278">
        <v>12</v>
      </c>
      <c r="I1604" s="277">
        <v>128200465</v>
      </c>
      <c r="J1604" s="113"/>
      <c r="K1604" s="114"/>
      <c r="L1604" s="149"/>
    </row>
    <row r="1605" spans="1:12" x14ac:dyDescent="0.25">
      <c r="A1605" s="476"/>
      <c r="B1605" s="277" t="s">
        <v>153</v>
      </c>
      <c r="C1605" s="278" t="s">
        <v>1964</v>
      </c>
      <c r="D1605" s="278">
        <v>12</v>
      </c>
      <c r="E1605" s="277">
        <v>69731728</v>
      </c>
      <c r="F1605" s="277"/>
      <c r="G1605" s="112" t="s">
        <v>1956</v>
      </c>
      <c r="H1605" s="278">
        <v>12</v>
      </c>
      <c r="I1605" s="277">
        <v>69999190</v>
      </c>
      <c r="J1605" s="113"/>
      <c r="K1605" s="114"/>
      <c r="L1605" s="149"/>
    </row>
    <row r="1606" spans="1:12" x14ac:dyDescent="0.25">
      <c r="A1606" s="476"/>
      <c r="B1606" s="277" t="s">
        <v>153</v>
      </c>
      <c r="C1606" s="278" t="s">
        <v>1960</v>
      </c>
      <c r="D1606" s="278">
        <v>12</v>
      </c>
      <c r="E1606" s="277">
        <v>69741476</v>
      </c>
      <c r="F1606" s="277"/>
      <c r="G1606" s="112" t="s">
        <v>1956</v>
      </c>
      <c r="H1606" s="278">
        <v>12</v>
      </c>
      <c r="I1606" s="277">
        <v>69899774</v>
      </c>
      <c r="J1606" s="113"/>
      <c r="K1606" s="114"/>
      <c r="L1606" s="149"/>
    </row>
    <row r="1607" spans="1:12" x14ac:dyDescent="0.25">
      <c r="A1607" s="476"/>
      <c r="B1607" s="277" t="s">
        <v>153</v>
      </c>
      <c r="C1607" s="278" t="s">
        <v>1960</v>
      </c>
      <c r="D1607" s="278">
        <v>12</v>
      </c>
      <c r="E1607" s="277">
        <v>69750674</v>
      </c>
      <c r="F1607" s="277"/>
      <c r="G1607" s="112" t="s">
        <v>1956</v>
      </c>
      <c r="H1607" s="278">
        <v>12</v>
      </c>
      <c r="I1607" s="277">
        <v>70923220</v>
      </c>
      <c r="J1607" s="113"/>
      <c r="K1607" s="114"/>
      <c r="L1607" s="149"/>
    </row>
    <row r="1608" spans="1:12" x14ac:dyDescent="0.25">
      <c r="A1608" s="476"/>
      <c r="B1608" s="277" t="s">
        <v>153</v>
      </c>
      <c r="C1608" s="278" t="s">
        <v>1960</v>
      </c>
      <c r="D1608" s="278">
        <v>12</v>
      </c>
      <c r="E1608" s="277">
        <v>69753580</v>
      </c>
      <c r="F1608" s="277"/>
      <c r="G1608" s="112" t="s">
        <v>1956</v>
      </c>
      <c r="H1608" s="278">
        <v>12</v>
      </c>
      <c r="I1608" s="277">
        <v>69780625</v>
      </c>
      <c r="J1608" s="113"/>
      <c r="K1608" s="114"/>
      <c r="L1608" s="149"/>
    </row>
    <row r="1609" spans="1:12" x14ac:dyDescent="0.25">
      <c r="A1609" s="476"/>
      <c r="B1609" s="277" t="s">
        <v>153</v>
      </c>
      <c r="C1609" s="278" t="s">
        <v>1954</v>
      </c>
      <c r="D1609" s="278">
        <v>12</v>
      </c>
      <c r="E1609" s="277">
        <v>69754685</v>
      </c>
      <c r="F1609" s="277"/>
      <c r="G1609" s="112" t="s">
        <v>1956</v>
      </c>
      <c r="H1609" s="278">
        <v>12</v>
      </c>
      <c r="I1609" s="277">
        <v>71143221</v>
      </c>
      <c r="J1609" s="113"/>
      <c r="K1609" s="114"/>
      <c r="L1609" s="149"/>
    </row>
    <row r="1610" spans="1:12" x14ac:dyDescent="0.25">
      <c r="A1610" s="476"/>
      <c r="B1610" s="277" t="s">
        <v>153</v>
      </c>
      <c r="C1610" s="278" t="s">
        <v>1954</v>
      </c>
      <c r="D1610" s="278">
        <v>12</v>
      </c>
      <c r="E1610" s="277">
        <v>69756602</v>
      </c>
      <c r="F1610" s="277"/>
      <c r="G1610" s="112" t="s">
        <v>1956</v>
      </c>
      <c r="H1610" s="278">
        <v>12</v>
      </c>
      <c r="I1610" s="277">
        <v>128137574</v>
      </c>
      <c r="J1610" s="113"/>
      <c r="K1610" s="114"/>
      <c r="L1610" s="149"/>
    </row>
    <row r="1611" spans="1:12" x14ac:dyDescent="0.25">
      <c r="A1611" s="476"/>
      <c r="B1611" s="277" t="s">
        <v>153</v>
      </c>
      <c r="C1611" s="278" t="s">
        <v>1960</v>
      </c>
      <c r="D1611" s="278">
        <v>12</v>
      </c>
      <c r="E1611" s="277">
        <v>69772637</v>
      </c>
      <c r="F1611" s="277"/>
      <c r="G1611" s="112" t="s">
        <v>1956</v>
      </c>
      <c r="H1611" s="278">
        <v>12</v>
      </c>
      <c r="I1611" s="277">
        <v>70018795</v>
      </c>
      <c r="J1611" s="113"/>
      <c r="K1611" s="114"/>
      <c r="L1611" s="149"/>
    </row>
    <row r="1612" spans="1:12" x14ac:dyDescent="0.25">
      <c r="A1612" s="476"/>
      <c r="B1612" s="277" t="s">
        <v>153</v>
      </c>
      <c r="C1612" s="278" t="s">
        <v>1954</v>
      </c>
      <c r="D1612" s="278">
        <v>12</v>
      </c>
      <c r="E1612" s="277">
        <v>69777566</v>
      </c>
      <c r="F1612" s="277"/>
      <c r="G1612" s="112" t="s">
        <v>1956</v>
      </c>
      <c r="H1612" s="278">
        <v>12</v>
      </c>
      <c r="I1612" s="277">
        <v>71117612</v>
      </c>
      <c r="J1612" s="113"/>
      <c r="K1612" s="114"/>
      <c r="L1612" s="149"/>
    </row>
    <row r="1613" spans="1:12" x14ac:dyDescent="0.25">
      <c r="A1613" s="476"/>
      <c r="B1613" s="277" t="s">
        <v>153</v>
      </c>
      <c r="C1613" s="278" t="s">
        <v>1954</v>
      </c>
      <c r="D1613" s="278">
        <v>12</v>
      </c>
      <c r="E1613" s="277">
        <v>69780200</v>
      </c>
      <c r="F1613" s="277"/>
      <c r="G1613" s="112" t="s">
        <v>1956</v>
      </c>
      <c r="H1613" s="278">
        <v>12</v>
      </c>
      <c r="I1613" s="277">
        <v>70206636</v>
      </c>
      <c r="J1613" s="113"/>
      <c r="K1613" s="114"/>
      <c r="L1613" s="149"/>
    </row>
    <row r="1614" spans="1:12" x14ac:dyDescent="0.25">
      <c r="A1614" s="476"/>
      <c r="B1614" s="277" t="s">
        <v>153</v>
      </c>
      <c r="C1614" s="278" t="s">
        <v>1960</v>
      </c>
      <c r="D1614" s="278">
        <v>12</v>
      </c>
      <c r="E1614" s="277">
        <v>69783330</v>
      </c>
      <c r="F1614" s="277"/>
      <c r="G1614" s="112" t="s">
        <v>1956</v>
      </c>
      <c r="H1614" s="278">
        <v>12</v>
      </c>
      <c r="I1614" s="277">
        <v>128319179</v>
      </c>
      <c r="J1614" s="113"/>
      <c r="K1614" s="114"/>
      <c r="L1614" s="149"/>
    </row>
    <row r="1615" spans="1:12" x14ac:dyDescent="0.25">
      <c r="A1615" s="476"/>
      <c r="B1615" s="277" t="s">
        <v>153</v>
      </c>
      <c r="C1615" s="278" t="s">
        <v>1964</v>
      </c>
      <c r="D1615" s="278">
        <v>12</v>
      </c>
      <c r="E1615" s="277">
        <v>69789549</v>
      </c>
      <c r="F1615" s="277"/>
      <c r="G1615" s="112" t="s">
        <v>1956</v>
      </c>
      <c r="H1615" s="278">
        <v>12</v>
      </c>
      <c r="I1615" s="277">
        <v>70970941</v>
      </c>
      <c r="J1615" s="113"/>
      <c r="K1615" s="114"/>
      <c r="L1615" s="149"/>
    </row>
    <row r="1616" spans="1:12" x14ac:dyDescent="0.25">
      <c r="A1616" s="476"/>
      <c r="B1616" s="277" t="s">
        <v>153</v>
      </c>
      <c r="C1616" s="278" t="s">
        <v>1960</v>
      </c>
      <c r="D1616" s="278">
        <v>12</v>
      </c>
      <c r="E1616" s="277">
        <v>69795757</v>
      </c>
      <c r="F1616" s="277"/>
      <c r="G1616" s="112" t="s">
        <v>1956</v>
      </c>
      <c r="H1616" s="278">
        <v>12</v>
      </c>
      <c r="I1616" s="277">
        <v>128118263</v>
      </c>
      <c r="J1616" s="113"/>
      <c r="K1616" s="114"/>
      <c r="L1616" s="149"/>
    </row>
    <row r="1617" spans="1:12" x14ac:dyDescent="0.25">
      <c r="A1617" s="476"/>
      <c r="B1617" s="277" t="s">
        <v>153</v>
      </c>
      <c r="C1617" s="278" t="s">
        <v>1954</v>
      </c>
      <c r="D1617" s="278">
        <v>12</v>
      </c>
      <c r="E1617" s="277">
        <v>69861916</v>
      </c>
      <c r="F1617" s="277"/>
      <c r="G1617" s="112" t="s">
        <v>1956</v>
      </c>
      <c r="H1617" s="278">
        <v>12</v>
      </c>
      <c r="I1617" s="277">
        <v>128630575</v>
      </c>
      <c r="J1617" s="113"/>
      <c r="K1617" s="114"/>
      <c r="L1617" s="149"/>
    </row>
    <row r="1618" spans="1:12" x14ac:dyDescent="0.25">
      <c r="A1618" s="476"/>
      <c r="B1618" s="277" t="s">
        <v>153</v>
      </c>
      <c r="C1618" s="278" t="s">
        <v>1964</v>
      </c>
      <c r="D1618" s="278">
        <v>12</v>
      </c>
      <c r="E1618" s="277">
        <v>69868061</v>
      </c>
      <c r="F1618" s="277"/>
      <c r="G1618" s="112" t="s">
        <v>1956</v>
      </c>
      <c r="H1618" s="278">
        <v>12</v>
      </c>
      <c r="I1618" s="277">
        <v>71189881</v>
      </c>
      <c r="J1618" s="113"/>
      <c r="K1618" s="114"/>
      <c r="L1618" s="149"/>
    </row>
    <row r="1619" spans="1:12" x14ac:dyDescent="0.25">
      <c r="A1619" s="476"/>
      <c r="B1619" s="277" t="s">
        <v>153</v>
      </c>
      <c r="C1619" s="278" t="s">
        <v>1964</v>
      </c>
      <c r="D1619" s="278">
        <v>12</v>
      </c>
      <c r="E1619" s="277">
        <v>69911929</v>
      </c>
      <c r="F1619" s="277"/>
      <c r="G1619" s="112" t="s">
        <v>1956</v>
      </c>
      <c r="H1619" s="278">
        <v>12</v>
      </c>
      <c r="I1619" s="277">
        <v>71220024</v>
      </c>
      <c r="J1619" s="113"/>
      <c r="K1619" s="114"/>
      <c r="L1619" s="149"/>
    </row>
    <row r="1620" spans="1:12" x14ac:dyDescent="0.25">
      <c r="A1620" s="476"/>
      <c r="B1620" s="277" t="s">
        <v>153</v>
      </c>
      <c r="C1620" s="278" t="s">
        <v>1964</v>
      </c>
      <c r="D1620" s="278">
        <v>12</v>
      </c>
      <c r="E1620" s="277">
        <v>69923620</v>
      </c>
      <c r="F1620" s="277"/>
      <c r="G1620" s="112" t="s">
        <v>1956</v>
      </c>
      <c r="H1620" s="278">
        <v>12</v>
      </c>
      <c r="I1620" s="277">
        <v>128316141</v>
      </c>
      <c r="J1620" s="113"/>
      <c r="K1620" s="114"/>
      <c r="L1620" s="149"/>
    </row>
    <row r="1621" spans="1:12" x14ac:dyDescent="0.25">
      <c r="A1621" s="476"/>
      <c r="B1621" s="277" t="s">
        <v>153</v>
      </c>
      <c r="C1621" s="278" t="s">
        <v>1964</v>
      </c>
      <c r="D1621" s="278">
        <v>12</v>
      </c>
      <c r="E1621" s="277">
        <v>69926590</v>
      </c>
      <c r="F1621" s="277"/>
      <c r="G1621" s="112" t="s">
        <v>1956</v>
      </c>
      <c r="H1621" s="278">
        <v>12</v>
      </c>
      <c r="I1621" s="277">
        <v>128165813</v>
      </c>
      <c r="J1621" s="113"/>
      <c r="K1621" s="114"/>
      <c r="L1621" s="149"/>
    </row>
    <row r="1622" spans="1:12" x14ac:dyDescent="0.25">
      <c r="A1622" s="476"/>
      <c r="B1622" s="277" t="s">
        <v>153</v>
      </c>
      <c r="C1622" s="278" t="s">
        <v>1954</v>
      </c>
      <c r="D1622" s="278">
        <v>12</v>
      </c>
      <c r="E1622" s="277">
        <v>69974504</v>
      </c>
      <c r="F1622" s="277"/>
      <c r="G1622" s="112" t="s">
        <v>1956</v>
      </c>
      <c r="H1622" s="278">
        <v>12</v>
      </c>
      <c r="I1622" s="277">
        <v>70818515</v>
      </c>
      <c r="J1622" s="113"/>
      <c r="K1622" s="114"/>
      <c r="L1622" s="149"/>
    </row>
    <row r="1623" spans="1:12" x14ac:dyDescent="0.25">
      <c r="A1623" s="476"/>
      <c r="B1623" s="277" t="s">
        <v>153</v>
      </c>
      <c r="C1623" s="278" t="s">
        <v>1954</v>
      </c>
      <c r="D1623" s="278">
        <v>12</v>
      </c>
      <c r="E1623" s="277">
        <v>69982295</v>
      </c>
      <c r="F1623" s="277"/>
      <c r="G1623" s="112" t="s">
        <v>1956</v>
      </c>
      <c r="H1623" s="278">
        <v>12</v>
      </c>
      <c r="I1623" s="277">
        <v>69996390</v>
      </c>
      <c r="J1623" s="113"/>
      <c r="K1623" s="114"/>
      <c r="L1623" s="149"/>
    </row>
    <row r="1624" spans="1:12" x14ac:dyDescent="0.25">
      <c r="A1624" s="476"/>
      <c r="B1624" s="277" t="s">
        <v>153</v>
      </c>
      <c r="C1624" s="278" t="s">
        <v>1964</v>
      </c>
      <c r="D1624" s="278">
        <v>12</v>
      </c>
      <c r="E1624" s="277">
        <v>69982597</v>
      </c>
      <c r="F1624" s="277"/>
      <c r="G1624" s="112" t="s">
        <v>1956</v>
      </c>
      <c r="H1624" s="278">
        <v>12</v>
      </c>
      <c r="I1624" s="277">
        <v>128117050</v>
      </c>
      <c r="J1624" s="113"/>
      <c r="K1624" s="114"/>
      <c r="L1624" s="149"/>
    </row>
    <row r="1625" spans="1:12" x14ac:dyDescent="0.25">
      <c r="A1625" s="476"/>
      <c r="B1625" s="277" t="s">
        <v>153</v>
      </c>
      <c r="C1625" s="278" t="s">
        <v>1954</v>
      </c>
      <c r="D1625" s="278">
        <v>12</v>
      </c>
      <c r="E1625" s="277">
        <v>69983545</v>
      </c>
      <c r="F1625" s="277"/>
      <c r="G1625" s="112" t="s">
        <v>1956</v>
      </c>
      <c r="H1625" s="278">
        <v>12</v>
      </c>
      <c r="I1625" s="277">
        <v>70934407</v>
      </c>
      <c r="J1625" s="113"/>
      <c r="K1625" s="114"/>
      <c r="L1625" s="149"/>
    </row>
    <row r="1626" spans="1:12" x14ac:dyDescent="0.25">
      <c r="A1626" s="476"/>
      <c r="B1626" s="277" t="s">
        <v>153</v>
      </c>
      <c r="C1626" s="278" t="s">
        <v>1964</v>
      </c>
      <c r="D1626" s="278">
        <v>12</v>
      </c>
      <c r="E1626" s="277">
        <v>70018822</v>
      </c>
      <c r="F1626" s="277"/>
      <c r="G1626" s="112" t="s">
        <v>1956</v>
      </c>
      <c r="H1626" s="278">
        <v>12</v>
      </c>
      <c r="I1626" s="277">
        <v>70127989</v>
      </c>
      <c r="J1626" s="113"/>
      <c r="K1626" s="114"/>
      <c r="L1626" s="149"/>
    </row>
    <row r="1627" spans="1:12" x14ac:dyDescent="0.25">
      <c r="A1627" s="476"/>
      <c r="B1627" s="277" t="s">
        <v>153</v>
      </c>
      <c r="C1627" s="278" t="s">
        <v>1960</v>
      </c>
      <c r="D1627" s="278">
        <v>12</v>
      </c>
      <c r="E1627" s="277">
        <v>70030264</v>
      </c>
      <c r="F1627" s="277"/>
      <c r="G1627" s="112" t="s">
        <v>1956</v>
      </c>
      <c r="H1627" s="278">
        <v>12</v>
      </c>
      <c r="I1627" s="277">
        <v>70931715</v>
      </c>
      <c r="J1627" s="113"/>
      <c r="K1627" s="114"/>
      <c r="L1627" s="149"/>
    </row>
    <row r="1628" spans="1:12" x14ac:dyDescent="0.25">
      <c r="A1628" s="476"/>
      <c r="B1628" s="277" t="s">
        <v>153</v>
      </c>
      <c r="C1628" s="278" t="s">
        <v>1954</v>
      </c>
      <c r="D1628" s="278">
        <v>12</v>
      </c>
      <c r="E1628" s="277">
        <v>70057096</v>
      </c>
      <c r="F1628" s="277"/>
      <c r="G1628" s="112" t="s">
        <v>1956</v>
      </c>
      <c r="H1628" s="278">
        <v>12</v>
      </c>
      <c r="I1628" s="277">
        <v>70130727</v>
      </c>
      <c r="J1628" s="113"/>
      <c r="K1628" s="114"/>
      <c r="L1628" s="149"/>
    </row>
    <row r="1629" spans="1:12" x14ac:dyDescent="0.25">
      <c r="A1629" s="476"/>
      <c r="B1629" s="277" t="s">
        <v>153</v>
      </c>
      <c r="C1629" s="278" t="s">
        <v>1954</v>
      </c>
      <c r="D1629" s="278">
        <v>12</v>
      </c>
      <c r="E1629" s="277">
        <v>70060077</v>
      </c>
      <c r="F1629" s="277"/>
      <c r="G1629" s="112" t="s">
        <v>1956</v>
      </c>
      <c r="H1629" s="278">
        <v>12</v>
      </c>
      <c r="I1629" s="277">
        <v>71222308</v>
      </c>
      <c r="J1629" s="113"/>
      <c r="K1629" s="114"/>
      <c r="L1629" s="149"/>
    </row>
    <row r="1630" spans="1:12" x14ac:dyDescent="0.25">
      <c r="A1630" s="476"/>
      <c r="B1630" s="277" t="s">
        <v>153</v>
      </c>
      <c r="C1630" s="278" t="s">
        <v>1960</v>
      </c>
      <c r="D1630" s="278">
        <v>12</v>
      </c>
      <c r="E1630" s="277">
        <v>70080598</v>
      </c>
      <c r="F1630" s="277"/>
      <c r="G1630" s="112" t="s">
        <v>1956</v>
      </c>
      <c r="H1630" s="278">
        <v>12</v>
      </c>
      <c r="I1630" s="277">
        <v>70966454</v>
      </c>
      <c r="J1630" s="113"/>
      <c r="K1630" s="114"/>
      <c r="L1630" s="149"/>
    </row>
    <row r="1631" spans="1:12" x14ac:dyDescent="0.25">
      <c r="A1631" s="476"/>
      <c r="B1631" s="277" t="s">
        <v>153</v>
      </c>
      <c r="C1631" s="278" t="s">
        <v>1954</v>
      </c>
      <c r="D1631" s="278">
        <v>12</v>
      </c>
      <c r="E1631" s="277">
        <v>70127618</v>
      </c>
      <c r="F1631" s="277"/>
      <c r="G1631" s="112" t="s">
        <v>1956</v>
      </c>
      <c r="H1631" s="278">
        <v>12</v>
      </c>
      <c r="I1631" s="277">
        <v>128611295</v>
      </c>
      <c r="J1631" s="113"/>
      <c r="K1631" s="114"/>
      <c r="L1631" s="149"/>
    </row>
    <row r="1632" spans="1:12" x14ac:dyDescent="0.25">
      <c r="A1632" s="476"/>
      <c r="B1632" s="277" t="s">
        <v>153</v>
      </c>
      <c r="C1632" s="278" t="s">
        <v>1964</v>
      </c>
      <c r="D1632" s="278">
        <v>12</v>
      </c>
      <c r="E1632" s="277">
        <v>70128422</v>
      </c>
      <c r="F1632" s="277"/>
      <c r="G1632" s="112" t="s">
        <v>1956</v>
      </c>
      <c r="H1632" s="278">
        <v>12</v>
      </c>
      <c r="I1632" s="277">
        <v>128015149</v>
      </c>
      <c r="J1632" s="113"/>
      <c r="K1632" s="114"/>
      <c r="L1632" s="149"/>
    </row>
    <row r="1633" spans="1:12" x14ac:dyDescent="0.25">
      <c r="A1633" s="476"/>
      <c r="B1633" s="277" t="s">
        <v>153</v>
      </c>
      <c r="C1633" s="278" t="s">
        <v>1960</v>
      </c>
      <c r="D1633" s="278">
        <v>12</v>
      </c>
      <c r="E1633" s="277">
        <v>70131669</v>
      </c>
      <c r="F1633" s="277"/>
      <c r="G1633" s="112" t="s">
        <v>1956</v>
      </c>
      <c r="H1633" s="278">
        <v>12</v>
      </c>
      <c r="I1633" s="277">
        <v>71219137</v>
      </c>
      <c r="J1633" s="113"/>
      <c r="K1633" s="114"/>
      <c r="L1633" s="149"/>
    </row>
    <row r="1634" spans="1:12" x14ac:dyDescent="0.25">
      <c r="A1634" s="476"/>
      <c r="B1634" s="277" t="s">
        <v>153</v>
      </c>
      <c r="C1634" s="278" t="s">
        <v>1964</v>
      </c>
      <c r="D1634" s="278">
        <v>12</v>
      </c>
      <c r="E1634" s="277">
        <v>70135564</v>
      </c>
      <c r="F1634" s="277"/>
      <c r="G1634" s="112" t="s">
        <v>1956</v>
      </c>
      <c r="H1634" s="278">
        <v>12</v>
      </c>
      <c r="I1634" s="277">
        <v>70937543</v>
      </c>
      <c r="J1634" s="113"/>
      <c r="K1634" s="114"/>
      <c r="L1634" s="149"/>
    </row>
    <row r="1635" spans="1:12" x14ac:dyDescent="0.25">
      <c r="A1635" s="476"/>
      <c r="B1635" s="277" t="s">
        <v>153</v>
      </c>
      <c r="C1635" s="278" t="s">
        <v>1964</v>
      </c>
      <c r="D1635" s="278">
        <v>12</v>
      </c>
      <c r="E1635" s="277">
        <v>70240555</v>
      </c>
      <c r="F1635" s="277"/>
      <c r="G1635" s="112" t="s">
        <v>1956</v>
      </c>
      <c r="H1635" s="278">
        <v>12</v>
      </c>
      <c r="I1635" s="277">
        <v>70951417</v>
      </c>
      <c r="J1635" s="113"/>
      <c r="K1635" s="114"/>
      <c r="L1635" s="149"/>
    </row>
    <row r="1636" spans="1:12" x14ac:dyDescent="0.25">
      <c r="A1636" s="476"/>
      <c r="B1636" s="277" t="s">
        <v>153</v>
      </c>
      <c r="C1636" s="278" t="s">
        <v>1964</v>
      </c>
      <c r="D1636" s="278">
        <v>12</v>
      </c>
      <c r="E1636" s="277">
        <v>70263725</v>
      </c>
      <c r="F1636" s="277"/>
      <c r="G1636" s="112" t="s">
        <v>1956</v>
      </c>
      <c r="H1636" s="278">
        <v>12</v>
      </c>
      <c r="I1636" s="277">
        <v>71232463</v>
      </c>
      <c r="J1636" s="113"/>
      <c r="K1636" s="114"/>
      <c r="L1636" s="149"/>
    </row>
    <row r="1637" spans="1:12" x14ac:dyDescent="0.25">
      <c r="A1637" s="476"/>
      <c r="B1637" s="277" t="s">
        <v>153</v>
      </c>
      <c r="C1637" s="278" t="s">
        <v>1960</v>
      </c>
      <c r="D1637" s="278">
        <v>12</v>
      </c>
      <c r="E1637" s="277">
        <v>70323666</v>
      </c>
      <c r="F1637" s="277"/>
      <c r="G1637" s="112" t="s">
        <v>1956</v>
      </c>
      <c r="H1637" s="278">
        <v>12</v>
      </c>
      <c r="I1637" s="277">
        <v>71250738</v>
      </c>
      <c r="J1637" s="113"/>
      <c r="K1637" s="114"/>
      <c r="L1637" s="149"/>
    </row>
    <row r="1638" spans="1:12" x14ac:dyDescent="0.25">
      <c r="A1638" s="476"/>
      <c r="B1638" s="277" t="s">
        <v>153</v>
      </c>
      <c r="C1638" s="278" t="s">
        <v>1960</v>
      </c>
      <c r="D1638" s="278">
        <v>12</v>
      </c>
      <c r="E1638" s="277">
        <v>70356701</v>
      </c>
      <c r="F1638" s="277"/>
      <c r="G1638" s="112" t="s">
        <v>1956</v>
      </c>
      <c r="H1638" s="278">
        <v>12</v>
      </c>
      <c r="I1638" s="277">
        <v>128530377</v>
      </c>
      <c r="J1638" s="113"/>
      <c r="K1638" s="114"/>
      <c r="L1638" s="149"/>
    </row>
    <row r="1639" spans="1:12" x14ac:dyDescent="0.25">
      <c r="A1639" s="476"/>
      <c r="B1639" s="277" t="s">
        <v>153</v>
      </c>
      <c r="C1639" s="278" t="s">
        <v>1954</v>
      </c>
      <c r="D1639" s="278">
        <v>12</v>
      </c>
      <c r="E1639" s="277">
        <v>70637861</v>
      </c>
      <c r="F1639" s="277"/>
      <c r="G1639" s="112" t="s">
        <v>1956</v>
      </c>
      <c r="H1639" s="278">
        <v>12</v>
      </c>
      <c r="I1639" s="277">
        <v>128570364</v>
      </c>
      <c r="J1639" s="113"/>
      <c r="K1639" s="114"/>
      <c r="L1639" s="149"/>
    </row>
    <row r="1640" spans="1:12" x14ac:dyDescent="0.25">
      <c r="A1640" s="476"/>
      <c r="B1640" s="277" t="s">
        <v>153</v>
      </c>
      <c r="C1640" s="278" t="s">
        <v>1954</v>
      </c>
      <c r="D1640" s="278">
        <v>12</v>
      </c>
      <c r="E1640" s="277">
        <v>70854628</v>
      </c>
      <c r="F1640" s="277"/>
      <c r="G1640" s="112" t="s">
        <v>1956</v>
      </c>
      <c r="H1640" s="278">
        <v>12</v>
      </c>
      <c r="I1640" s="277">
        <v>70855242</v>
      </c>
      <c r="J1640" s="113"/>
      <c r="K1640" s="114"/>
      <c r="L1640" s="149"/>
    </row>
    <row r="1641" spans="1:12" x14ac:dyDescent="0.25">
      <c r="A1641" s="476"/>
      <c r="B1641" s="277" t="s">
        <v>153</v>
      </c>
      <c r="C1641" s="278" t="s">
        <v>1964</v>
      </c>
      <c r="D1641" s="278">
        <v>12</v>
      </c>
      <c r="E1641" s="277">
        <v>70855383</v>
      </c>
      <c r="F1641" s="277"/>
      <c r="G1641" s="112" t="s">
        <v>1956</v>
      </c>
      <c r="H1641" s="278">
        <v>12</v>
      </c>
      <c r="I1641" s="277">
        <v>128029469</v>
      </c>
      <c r="J1641" s="113"/>
      <c r="K1641" s="114"/>
      <c r="L1641" s="149"/>
    </row>
    <row r="1642" spans="1:12" x14ac:dyDescent="0.25">
      <c r="A1642" s="476"/>
      <c r="B1642" s="277" t="s">
        <v>153</v>
      </c>
      <c r="C1642" s="278" t="s">
        <v>1964</v>
      </c>
      <c r="D1642" s="278">
        <v>12</v>
      </c>
      <c r="E1642" s="277">
        <v>70993819</v>
      </c>
      <c r="F1642" s="277"/>
      <c r="G1642" s="112" t="s">
        <v>1956</v>
      </c>
      <c r="H1642" s="278">
        <v>12</v>
      </c>
      <c r="I1642" s="277">
        <v>128206696</v>
      </c>
      <c r="J1642" s="113"/>
      <c r="K1642" s="114"/>
      <c r="L1642" s="149"/>
    </row>
    <row r="1643" spans="1:12" x14ac:dyDescent="0.25">
      <c r="A1643" s="476"/>
      <c r="B1643" s="277" t="s">
        <v>153</v>
      </c>
      <c r="C1643" s="278" t="s">
        <v>1960</v>
      </c>
      <c r="D1643" s="278">
        <v>12</v>
      </c>
      <c r="E1643" s="277">
        <v>71127568</v>
      </c>
      <c r="F1643" s="277"/>
      <c r="G1643" s="112" t="s">
        <v>1956</v>
      </c>
      <c r="H1643" s="278">
        <v>12</v>
      </c>
      <c r="I1643" s="277">
        <v>128177680</v>
      </c>
      <c r="J1643" s="113"/>
      <c r="K1643" s="114"/>
      <c r="L1643" s="149"/>
    </row>
    <row r="1644" spans="1:12" x14ac:dyDescent="0.25">
      <c r="A1644" s="476"/>
      <c r="B1644" s="277" t="s">
        <v>153</v>
      </c>
      <c r="C1644" s="278" t="s">
        <v>1964</v>
      </c>
      <c r="D1644" s="278">
        <v>12</v>
      </c>
      <c r="E1644" s="277">
        <v>71147108</v>
      </c>
      <c r="F1644" s="277"/>
      <c r="G1644" s="112" t="s">
        <v>1956</v>
      </c>
      <c r="H1644" s="278">
        <v>12</v>
      </c>
      <c r="I1644" s="277">
        <v>128145516</v>
      </c>
      <c r="J1644" s="113"/>
      <c r="K1644" s="114"/>
      <c r="L1644" s="149"/>
    </row>
    <row r="1645" spans="1:12" x14ac:dyDescent="0.25">
      <c r="A1645" s="476"/>
      <c r="B1645" s="277" t="s">
        <v>153</v>
      </c>
      <c r="C1645" s="278" t="s">
        <v>1964</v>
      </c>
      <c r="D1645" s="278">
        <v>12</v>
      </c>
      <c r="E1645" s="277">
        <v>71193700</v>
      </c>
      <c r="F1645" s="277"/>
      <c r="G1645" s="112" t="s">
        <v>1956</v>
      </c>
      <c r="H1645" s="278">
        <v>12</v>
      </c>
      <c r="I1645" s="277">
        <v>128652818</v>
      </c>
      <c r="J1645" s="113"/>
      <c r="K1645" s="114"/>
      <c r="L1645" s="149"/>
    </row>
    <row r="1646" spans="1:12" x14ac:dyDescent="0.25">
      <c r="A1646" s="476"/>
      <c r="B1646" s="277" t="s">
        <v>153</v>
      </c>
      <c r="C1646" s="278" t="s">
        <v>1960</v>
      </c>
      <c r="D1646" s="278">
        <v>12</v>
      </c>
      <c r="E1646" s="277">
        <v>71251097</v>
      </c>
      <c r="F1646" s="277"/>
      <c r="G1646" s="112" t="s">
        <v>1956</v>
      </c>
      <c r="H1646" s="278">
        <v>12</v>
      </c>
      <c r="I1646" s="277">
        <v>128746443</v>
      </c>
      <c r="J1646" s="113"/>
      <c r="K1646" s="114"/>
      <c r="L1646" s="149"/>
    </row>
    <row r="1647" spans="1:12" x14ac:dyDescent="0.25">
      <c r="A1647" s="476"/>
      <c r="B1647" s="277" t="s">
        <v>153</v>
      </c>
      <c r="C1647" s="278" t="s">
        <v>1964</v>
      </c>
      <c r="D1647" s="278">
        <v>12</v>
      </c>
      <c r="E1647" s="277">
        <v>128017699</v>
      </c>
      <c r="F1647" s="277"/>
      <c r="G1647" s="112" t="s">
        <v>1956</v>
      </c>
      <c r="H1647" s="278">
        <v>12</v>
      </c>
      <c r="I1647" s="277">
        <v>128872717</v>
      </c>
      <c r="J1647" s="113"/>
      <c r="K1647" s="114"/>
      <c r="L1647" s="149"/>
    </row>
    <row r="1648" spans="1:12" x14ac:dyDescent="0.25">
      <c r="A1648" s="476"/>
      <c r="B1648" s="277" t="s">
        <v>153</v>
      </c>
      <c r="C1648" s="278" t="s">
        <v>1954</v>
      </c>
      <c r="D1648" s="278">
        <v>12</v>
      </c>
      <c r="E1648" s="277">
        <v>128024793</v>
      </c>
      <c r="F1648" s="277"/>
      <c r="G1648" s="112" t="s">
        <v>1956</v>
      </c>
      <c r="H1648" s="278">
        <v>12</v>
      </c>
      <c r="I1648" s="277">
        <v>128716607</v>
      </c>
      <c r="J1648" s="113"/>
      <c r="K1648" s="114"/>
      <c r="L1648" s="149"/>
    </row>
    <row r="1649" spans="1:12" x14ac:dyDescent="0.25">
      <c r="A1649" s="476"/>
      <c r="B1649" s="277" t="s">
        <v>153</v>
      </c>
      <c r="C1649" s="278" t="s">
        <v>1964</v>
      </c>
      <c r="D1649" s="278">
        <v>12</v>
      </c>
      <c r="E1649" s="277">
        <v>128148832</v>
      </c>
      <c r="F1649" s="277"/>
      <c r="G1649" s="112" t="s">
        <v>1956</v>
      </c>
      <c r="H1649" s="278">
        <v>12</v>
      </c>
      <c r="I1649" s="277">
        <v>128174735</v>
      </c>
      <c r="J1649" s="113"/>
      <c r="K1649" s="114"/>
      <c r="L1649" s="149"/>
    </row>
    <row r="1650" spans="1:12" x14ac:dyDescent="0.25">
      <c r="A1650" s="476"/>
      <c r="B1650" s="277" t="s">
        <v>153</v>
      </c>
      <c r="C1650" s="278" t="s">
        <v>1960</v>
      </c>
      <c r="D1650" s="278">
        <v>12</v>
      </c>
      <c r="E1650" s="277">
        <v>128533766</v>
      </c>
      <c r="F1650" s="277"/>
      <c r="G1650" s="112" t="s">
        <v>1956</v>
      </c>
      <c r="H1650" s="278">
        <v>12</v>
      </c>
      <c r="I1650" s="277">
        <v>128555033</v>
      </c>
      <c r="J1650" s="113"/>
      <c r="K1650" s="114"/>
      <c r="L1650" s="149"/>
    </row>
    <row r="1651" spans="1:12" x14ac:dyDescent="0.25">
      <c r="A1651" s="476"/>
      <c r="B1651" s="277" t="s">
        <v>153</v>
      </c>
      <c r="C1651" s="278" t="s">
        <v>1964</v>
      </c>
      <c r="D1651" s="278">
        <v>12</v>
      </c>
      <c r="E1651" s="277">
        <v>57970901</v>
      </c>
      <c r="F1651" s="277"/>
      <c r="G1651" s="112" t="s">
        <v>1956</v>
      </c>
      <c r="H1651" s="278">
        <v>12</v>
      </c>
      <c r="I1651" s="277">
        <v>128410470</v>
      </c>
      <c r="J1651" s="113"/>
      <c r="K1651" s="114"/>
      <c r="L1651" s="149"/>
    </row>
    <row r="1652" spans="1:12" x14ac:dyDescent="0.25">
      <c r="A1652" s="476"/>
      <c r="B1652" s="277" t="s">
        <v>153</v>
      </c>
      <c r="C1652" s="278" t="s">
        <v>1960</v>
      </c>
      <c r="D1652" s="278">
        <v>12</v>
      </c>
      <c r="E1652" s="277">
        <v>57970935</v>
      </c>
      <c r="F1652" s="277"/>
      <c r="G1652" s="112" t="s">
        <v>1956</v>
      </c>
      <c r="H1652" s="278">
        <v>12</v>
      </c>
      <c r="I1652" s="277">
        <v>128608197</v>
      </c>
      <c r="J1652" s="113"/>
      <c r="K1652" s="114"/>
      <c r="L1652" s="149"/>
    </row>
    <row r="1653" spans="1:12" x14ac:dyDescent="0.25">
      <c r="A1653" s="476"/>
      <c r="B1653" s="277" t="s">
        <v>153</v>
      </c>
      <c r="C1653" s="278" t="s">
        <v>1964</v>
      </c>
      <c r="D1653" s="278">
        <v>12</v>
      </c>
      <c r="E1653" s="277">
        <v>58126378</v>
      </c>
      <c r="F1653" s="277"/>
      <c r="G1653" s="112" t="s">
        <v>1956</v>
      </c>
      <c r="H1653" s="278">
        <v>12</v>
      </c>
      <c r="I1653" s="277">
        <v>69524696</v>
      </c>
      <c r="J1653" s="113"/>
      <c r="K1653" s="114"/>
      <c r="L1653" s="149"/>
    </row>
    <row r="1654" spans="1:12" x14ac:dyDescent="0.25">
      <c r="A1654" s="476"/>
      <c r="B1654" s="277" t="s">
        <v>153</v>
      </c>
      <c r="C1654" s="278" t="s">
        <v>1964</v>
      </c>
      <c r="D1654" s="278">
        <v>12</v>
      </c>
      <c r="E1654" s="277">
        <v>58140615</v>
      </c>
      <c r="F1654" s="277"/>
      <c r="G1654" s="112" t="s">
        <v>1956</v>
      </c>
      <c r="H1654" s="278">
        <v>12</v>
      </c>
      <c r="I1654" s="277">
        <v>69207102</v>
      </c>
      <c r="J1654" s="113"/>
      <c r="K1654" s="114"/>
      <c r="L1654" s="149"/>
    </row>
    <row r="1655" spans="1:12" x14ac:dyDescent="0.25">
      <c r="A1655" s="476"/>
      <c r="B1655" s="277" t="s">
        <v>153</v>
      </c>
      <c r="C1655" s="278" t="s">
        <v>1964</v>
      </c>
      <c r="D1655" s="278">
        <v>12</v>
      </c>
      <c r="E1655" s="277">
        <v>58140797</v>
      </c>
      <c r="F1655" s="277"/>
      <c r="G1655" s="112" t="s">
        <v>1956</v>
      </c>
      <c r="H1655" s="278">
        <v>12</v>
      </c>
      <c r="I1655" s="277">
        <v>58656787</v>
      </c>
      <c r="J1655" s="113"/>
      <c r="K1655" s="114"/>
      <c r="L1655" s="149"/>
    </row>
    <row r="1656" spans="1:12" x14ac:dyDescent="0.25">
      <c r="A1656" s="476"/>
      <c r="B1656" s="277" t="s">
        <v>153</v>
      </c>
      <c r="C1656" s="278" t="s">
        <v>1954</v>
      </c>
      <c r="D1656" s="278">
        <v>12</v>
      </c>
      <c r="E1656" s="277">
        <v>58159161</v>
      </c>
      <c r="F1656" s="277"/>
      <c r="G1656" s="112" t="s">
        <v>1956</v>
      </c>
      <c r="H1656" s="278">
        <v>12</v>
      </c>
      <c r="I1656" s="277">
        <v>69642671</v>
      </c>
      <c r="J1656" s="113"/>
      <c r="K1656" s="114"/>
      <c r="L1656" s="149"/>
    </row>
    <row r="1657" spans="1:12" x14ac:dyDescent="0.25">
      <c r="A1657" s="476"/>
      <c r="B1657" s="277" t="s">
        <v>153</v>
      </c>
      <c r="C1657" s="278" t="s">
        <v>1960</v>
      </c>
      <c r="D1657" s="278">
        <v>12</v>
      </c>
      <c r="E1657" s="277">
        <v>58159632</v>
      </c>
      <c r="F1657" s="277"/>
      <c r="G1657" s="112" t="s">
        <v>1956</v>
      </c>
      <c r="H1657" s="278">
        <v>12</v>
      </c>
      <c r="I1657" s="277">
        <v>69522133</v>
      </c>
      <c r="J1657" s="113"/>
      <c r="K1657" s="114"/>
      <c r="L1657" s="149"/>
    </row>
    <row r="1658" spans="1:12" x14ac:dyDescent="0.25">
      <c r="A1658" s="476"/>
      <c r="B1658" s="277" t="s">
        <v>153</v>
      </c>
      <c r="C1658" s="278" t="s">
        <v>1960</v>
      </c>
      <c r="D1658" s="278">
        <v>12</v>
      </c>
      <c r="E1658" s="277">
        <v>58208116</v>
      </c>
      <c r="F1658" s="277"/>
      <c r="G1658" s="112" t="s">
        <v>1956</v>
      </c>
      <c r="H1658" s="278">
        <v>12</v>
      </c>
      <c r="I1658" s="277">
        <v>128502737</v>
      </c>
      <c r="J1658" s="113"/>
      <c r="K1658" s="114"/>
      <c r="L1658" s="149"/>
    </row>
    <row r="1659" spans="1:12" x14ac:dyDescent="0.25">
      <c r="A1659" s="476"/>
      <c r="B1659" s="277" t="s">
        <v>153</v>
      </c>
      <c r="C1659" s="278" t="s">
        <v>1964</v>
      </c>
      <c r="D1659" s="278">
        <v>12</v>
      </c>
      <c r="E1659" s="277">
        <v>58681267</v>
      </c>
      <c r="F1659" s="277"/>
      <c r="G1659" s="112" t="s">
        <v>1956</v>
      </c>
      <c r="H1659" s="278">
        <v>12</v>
      </c>
      <c r="I1659" s="277">
        <v>69376585</v>
      </c>
      <c r="J1659" s="113"/>
      <c r="K1659" s="114"/>
      <c r="L1659" s="149"/>
    </row>
    <row r="1660" spans="1:12" x14ac:dyDescent="0.25">
      <c r="A1660" s="476"/>
      <c r="B1660" s="117" t="s">
        <v>153</v>
      </c>
      <c r="C1660" s="112" t="s">
        <v>1964</v>
      </c>
      <c r="D1660" s="112">
        <v>13</v>
      </c>
      <c r="E1660" s="113">
        <v>52795736</v>
      </c>
      <c r="F1660" s="111" t="s">
        <v>2582</v>
      </c>
      <c r="G1660" s="112" t="s">
        <v>1956</v>
      </c>
      <c r="H1660" s="112">
        <v>13</v>
      </c>
      <c r="I1660" s="113">
        <v>53158835</v>
      </c>
      <c r="J1660" s="111" t="s">
        <v>2583</v>
      </c>
      <c r="K1660" s="209" t="s">
        <v>2584</v>
      </c>
    </row>
    <row r="1661" spans="1:12" x14ac:dyDescent="0.25">
      <c r="A1661" s="476"/>
      <c r="B1661" s="117" t="s">
        <v>153</v>
      </c>
      <c r="C1661" s="112" t="s">
        <v>1954</v>
      </c>
      <c r="D1661" s="112">
        <v>13</v>
      </c>
      <c r="E1661" s="113">
        <v>87415379</v>
      </c>
      <c r="F1661" s="111" t="s">
        <v>2527</v>
      </c>
      <c r="G1661" s="112" t="s">
        <v>1956</v>
      </c>
      <c r="H1661" s="112">
        <v>13</v>
      </c>
      <c r="I1661" s="113">
        <v>87559279</v>
      </c>
      <c r="J1661" s="111" t="s">
        <v>2527</v>
      </c>
      <c r="K1661" s="209"/>
    </row>
    <row r="1662" spans="1:12" x14ac:dyDescent="0.25">
      <c r="A1662" s="476"/>
      <c r="B1662" s="117" t="s">
        <v>153</v>
      </c>
      <c r="C1662" s="112" t="s">
        <v>1954</v>
      </c>
      <c r="D1662" s="112">
        <v>13</v>
      </c>
      <c r="E1662" s="113">
        <v>87633545</v>
      </c>
      <c r="F1662" s="111" t="s">
        <v>2527</v>
      </c>
      <c r="G1662" s="112" t="s">
        <v>1956</v>
      </c>
      <c r="H1662" s="112">
        <v>13</v>
      </c>
      <c r="I1662" s="113">
        <v>87700581</v>
      </c>
      <c r="J1662" s="111" t="s">
        <v>2527</v>
      </c>
      <c r="K1662" s="209"/>
    </row>
    <row r="1663" spans="1:12" x14ac:dyDescent="0.25">
      <c r="A1663" s="476"/>
      <c r="B1663" s="117" t="s">
        <v>153</v>
      </c>
      <c r="C1663" s="112" t="s">
        <v>1954</v>
      </c>
      <c r="D1663" s="112">
        <v>15</v>
      </c>
      <c r="E1663" s="113">
        <v>30048146</v>
      </c>
      <c r="F1663" s="111" t="s">
        <v>2585</v>
      </c>
      <c r="G1663" s="112" t="s">
        <v>1956</v>
      </c>
      <c r="H1663" s="112">
        <v>15</v>
      </c>
      <c r="I1663" s="113">
        <v>30118450</v>
      </c>
      <c r="J1663" s="111" t="s">
        <v>2585</v>
      </c>
      <c r="K1663" s="209" t="s">
        <v>2586</v>
      </c>
    </row>
    <row r="1664" spans="1:12" x14ac:dyDescent="0.25">
      <c r="A1664" s="476"/>
      <c r="B1664" s="117" t="s">
        <v>153</v>
      </c>
      <c r="C1664" s="112" t="s">
        <v>1954</v>
      </c>
      <c r="D1664" s="112">
        <v>17</v>
      </c>
      <c r="E1664" s="113">
        <v>25465496</v>
      </c>
      <c r="F1664" s="111" t="s">
        <v>2587</v>
      </c>
      <c r="G1664" s="112" t="s">
        <v>1956</v>
      </c>
      <c r="H1664" s="112">
        <v>17</v>
      </c>
      <c r="I1664" s="113">
        <v>25656683</v>
      </c>
      <c r="J1664" s="111" t="s">
        <v>2587</v>
      </c>
      <c r="K1664" s="209"/>
    </row>
    <row r="1665" spans="1:11" x14ac:dyDescent="0.25">
      <c r="A1665" s="476"/>
      <c r="B1665" s="117" t="s">
        <v>153</v>
      </c>
      <c r="C1665" s="112" t="s">
        <v>1975</v>
      </c>
      <c r="D1665" s="112">
        <v>17</v>
      </c>
      <c r="E1665" s="113">
        <v>38879465</v>
      </c>
      <c r="F1665" s="111" t="s">
        <v>2588</v>
      </c>
      <c r="G1665" s="112" t="s">
        <v>1956</v>
      </c>
      <c r="H1665" s="112">
        <v>18</v>
      </c>
      <c r="I1665" s="113">
        <v>63492</v>
      </c>
      <c r="J1665" s="117" t="s">
        <v>2589</v>
      </c>
      <c r="K1665" s="209"/>
    </row>
    <row r="1666" spans="1:11" x14ac:dyDescent="0.25">
      <c r="A1666" s="476"/>
      <c r="B1666" s="117" t="s">
        <v>153</v>
      </c>
      <c r="C1666" s="112" t="s">
        <v>1954</v>
      </c>
      <c r="D1666" s="112">
        <v>19</v>
      </c>
      <c r="E1666" s="113">
        <v>39486743</v>
      </c>
      <c r="F1666" s="111" t="s">
        <v>2590</v>
      </c>
      <c r="G1666" s="112" t="s">
        <v>1956</v>
      </c>
      <c r="H1666" s="112">
        <v>19</v>
      </c>
      <c r="I1666" s="113">
        <v>39563097</v>
      </c>
      <c r="J1666" s="117" t="s">
        <v>2591</v>
      </c>
      <c r="K1666" s="209"/>
    </row>
    <row r="1667" spans="1:11" x14ac:dyDescent="0.25">
      <c r="A1667" s="476"/>
      <c r="B1667" s="117" t="s">
        <v>153</v>
      </c>
      <c r="C1667" s="112" t="s">
        <v>1954</v>
      </c>
      <c r="D1667" s="112">
        <v>21</v>
      </c>
      <c r="E1667" s="113">
        <v>31470043</v>
      </c>
      <c r="F1667" s="111" t="s">
        <v>2592</v>
      </c>
      <c r="G1667" s="112" t="s">
        <v>1956</v>
      </c>
      <c r="H1667" s="112">
        <v>21</v>
      </c>
      <c r="I1667" s="113">
        <v>31551037</v>
      </c>
      <c r="J1667" s="117" t="s">
        <v>2593</v>
      </c>
      <c r="K1667" s="209"/>
    </row>
    <row r="1668" spans="1:11" x14ac:dyDescent="0.25">
      <c r="A1668" s="476"/>
      <c r="B1668" s="117" t="s">
        <v>153</v>
      </c>
      <c r="C1668" s="112" t="s">
        <v>1954</v>
      </c>
      <c r="D1668" s="112">
        <v>22</v>
      </c>
      <c r="E1668" s="113">
        <v>31398797</v>
      </c>
      <c r="F1668" s="111" t="s">
        <v>2594</v>
      </c>
      <c r="G1668" s="112" t="s">
        <v>1956</v>
      </c>
      <c r="H1668" s="112">
        <v>22</v>
      </c>
      <c r="I1668" s="113">
        <v>31477664</v>
      </c>
      <c r="J1668" s="111" t="s">
        <v>2594</v>
      </c>
      <c r="K1668" s="209"/>
    </row>
    <row r="1669" spans="1:11" ht="15.75" thickBot="1" x14ac:dyDescent="0.3">
      <c r="A1669" s="477"/>
      <c r="B1669" s="211" t="s">
        <v>153</v>
      </c>
      <c r="C1669" s="212" t="s">
        <v>1954</v>
      </c>
      <c r="D1669" s="212" t="s">
        <v>379</v>
      </c>
      <c r="E1669" s="260">
        <v>50523494</v>
      </c>
      <c r="F1669" s="213" t="s">
        <v>2595</v>
      </c>
      <c r="G1669" s="212" t="s">
        <v>1956</v>
      </c>
      <c r="H1669" s="212" t="s">
        <v>379</v>
      </c>
      <c r="I1669" s="260">
        <v>50664504</v>
      </c>
      <c r="J1669" s="211" t="s">
        <v>2596</v>
      </c>
      <c r="K1669" s="214" t="s">
        <v>2597</v>
      </c>
    </row>
    <row r="1670" spans="1:11" x14ac:dyDescent="0.25">
      <c r="A1670" s="468" t="s">
        <v>4151</v>
      </c>
      <c r="B1670" s="124" t="s">
        <v>22</v>
      </c>
      <c r="C1670" s="119" t="s">
        <v>1954</v>
      </c>
      <c r="D1670" s="119">
        <v>7</v>
      </c>
      <c r="E1670" s="120">
        <v>15579839</v>
      </c>
      <c r="F1670" s="215" t="s">
        <v>2598</v>
      </c>
      <c r="G1670" s="119" t="s">
        <v>1956</v>
      </c>
      <c r="H1670" s="216">
        <v>7</v>
      </c>
      <c r="I1670" s="120">
        <v>15774553</v>
      </c>
      <c r="J1670" s="118" t="s">
        <v>2599</v>
      </c>
      <c r="K1670" s="121" t="s">
        <v>2600</v>
      </c>
    </row>
    <row r="1671" spans="1:11" x14ac:dyDescent="0.25">
      <c r="A1671" s="468"/>
      <c r="B1671" s="124" t="s">
        <v>22</v>
      </c>
      <c r="C1671" s="119" t="s">
        <v>1960</v>
      </c>
      <c r="D1671" s="119">
        <v>16</v>
      </c>
      <c r="E1671" s="120">
        <v>17429687</v>
      </c>
      <c r="F1671" s="124" t="s">
        <v>2601</v>
      </c>
      <c r="G1671" s="119" t="s">
        <v>1956</v>
      </c>
      <c r="H1671" s="119">
        <v>16</v>
      </c>
      <c r="I1671" s="120">
        <v>17429903</v>
      </c>
      <c r="J1671" s="124" t="s">
        <v>2601</v>
      </c>
      <c r="K1671" s="327"/>
    </row>
    <row r="1672" spans="1:11" x14ac:dyDescent="0.25">
      <c r="A1672" s="468"/>
      <c r="B1672" s="131" t="s">
        <v>504</v>
      </c>
      <c r="C1672" s="126" t="s">
        <v>1975</v>
      </c>
      <c r="D1672" s="126">
        <v>2</v>
      </c>
      <c r="E1672" s="261">
        <v>37022887</v>
      </c>
      <c r="F1672" s="131" t="s">
        <v>2602</v>
      </c>
      <c r="G1672" s="126" t="s">
        <v>1956</v>
      </c>
      <c r="H1672" s="126">
        <v>11</v>
      </c>
      <c r="I1672" s="261">
        <v>4042245</v>
      </c>
      <c r="J1672" s="125" t="s">
        <v>2603</v>
      </c>
      <c r="K1672" s="128" t="s">
        <v>2604</v>
      </c>
    </row>
    <row r="1673" spans="1:11" x14ac:dyDescent="0.25">
      <c r="A1673" s="468"/>
      <c r="B1673" s="131" t="s">
        <v>504</v>
      </c>
      <c r="C1673" s="126" t="s">
        <v>1975</v>
      </c>
      <c r="D1673" s="126">
        <v>2</v>
      </c>
      <c r="E1673" s="261">
        <v>43918152</v>
      </c>
      <c r="F1673" s="131" t="s">
        <v>2605</v>
      </c>
      <c r="G1673" s="126" t="s">
        <v>1956</v>
      </c>
      <c r="H1673" s="126">
        <v>11</v>
      </c>
      <c r="I1673" s="261">
        <v>71434814</v>
      </c>
      <c r="J1673" s="125" t="s">
        <v>2606</v>
      </c>
      <c r="K1673" s="128" t="s">
        <v>2607</v>
      </c>
    </row>
    <row r="1674" spans="1:11" x14ac:dyDescent="0.25">
      <c r="A1674" s="468"/>
      <c r="B1674" s="131" t="s">
        <v>504</v>
      </c>
      <c r="C1674" s="126" t="s">
        <v>1975</v>
      </c>
      <c r="D1674" s="126">
        <v>2</v>
      </c>
      <c r="E1674" s="261">
        <v>130728307</v>
      </c>
      <c r="F1674" s="131" t="s">
        <v>2608</v>
      </c>
      <c r="G1674" s="126" t="s">
        <v>1956</v>
      </c>
      <c r="H1674" s="126">
        <v>12</v>
      </c>
      <c r="I1674" s="261">
        <v>11407983</v>
      </c>
      <c r="J1674" s="125" t="s">
        <v>2609</v>
      </c>
      <c r="K1674" s="128" t="s">
        <v>2610</v>
      </c>
    </row>
    <row r="1675" spans="1:11" x14ac:dyDescent="0.25">
      <c r="A1675" s="468"/>
      <c r="B1675" s="131" t="s">
        <v>504</v>
      </c>
      <c r="C1675" s="126" t="s">
        <v>1975</v>
      </c>
      <c r="D1675" s="126">
        <v>3</v>
      </c>
      <c r="E1675" s="261">
        <v>65557027</v>
      </c>
      <c r="F1675" s="131" t="s">
        <v>2611</v>
      </c>
      <c r="G1675" s="126" t="s">
        <v>1956</v>
      </c>
      <c r="H1675" s="126">
        <v>17</v>
      </c>
      <c r="I1675" s="261">
        <v>42284187</v>
      </c>
      <c r="J1675" s="125" t="s">
        <v>2093</v>
      </c>
      <c r="K1675" s="128" t="s">
        <v>2612</v>
      </c>
    </row>
    <row r="1676" spans="1:11" x14ac:dyDescent="0.25">
      <c r="A1676" s="468"/>
      <c r="B1676" s="131" t="s">
        <v>504</v>
      </c>
      <c r="C1676" s="126" t="s">
        <v>1975</v>
      </c>
      <c r="D1676" s="217">
        <v>3</v>
      </c>
      <c r="E1676" s="262">
        <v>184030743</v>
      </c>
      <c r="F1676" s="218" t="s">
        <v>2613</v>
      </c>
      <c r="G1676" s="126" t="s">
        <v>1956</v>
      </c>
      <c r="H1676" s="217">
        <v>11</v>
      </c>
      <c r="I1676" s="262">
        <v>118678270</v>
      </c>
      <c r="J1676" s="125" t="s">
        <v>2614</v>
      </c>
      <c r="K1676" s="128"/>
    </row>
    <row r="1677" spans="1:11" x14ac:dyDescent="0.25">
      <c r="A1677" s="468"/>
      <c r="B1677" s="131" t="s">
        <v>504</v>
      </c>
      <c r="C1677" s="126" t="s">
        <v>1975</v>
      </c>
      <c r="D1677" s="217">
        <v>3</v>
      </c>
      <c r="E1677" s="262">
        <v>184111535</v>
      </c>
      <c r="F1677" s="131" t="s">
        <v>2615</v>
      </c>
      <c r="G1677" s="126" t="s">
        <v>1956</v>
      </c>
      <c r="H1677" s="217">
        <v>11</v>
      </c>
      <c r="I1677" s="262">
        <v>118646477</v>
      </c>
      <c r="J1677" s="125" t="s">
        <v>2616</v>
      </c>
      <c r="K1677" s="128" t="s">
        <v>2617</v>
      </c>
    </row>
    <row r="1678" spans="1:11" x14ac:dyDescent="0.25">
      <c r="A1678" s="468"/>
      <c r="B1678" s="145" t="s">
        <v>153</v>
      </c>
      <c r="C1678" s="140" t="s">
        <v>1960</v>
      </c>
      <c r="D1678" s="140">
        <v>1</v>
      </c>
      <c r="E1678" s="141">
        <v>225892711</v>
      </c>
      <c r="F1678" s="145" t="s">
        <v>2618</v>
      </c>
      <c r="G1678" s="140" t="s">
        <v>1956</v>
      </c>
      <c r="H1678" s="140">
        <v>1</v>
      </c>
      <c r="I1678" s="141">
        <v>225893070</v>
      </c>
      <c r="J1678" s="145" t="s">
        <v>2618</v>
      </c>
      <c r="K1678" s="222"/>
    </row>
    <row r="1679" spans="1:11" x14ac:dyDescent="0.25">
      <c r="A1679" s="468"/>
      <c r="B1679" s="145" t="s">
        <v>153</v>
      </c>
      <c r="C1679" s="140" t="s">
        <v>1975</v>
      </c>
      <c r="D1679" s="140">
        <v>2</v>
      </c>
      <c r="E1679" s="263">
        <v>13652101</v>
      </c>
      <c r="F1679" s="145" t="s">
        <v>2619</v>
      </c>
      <c r="G1679" s="140" t="s">
        <v>1956</v>
      </c>
      <c r="H1679" s="140">
        <v>9</v>
      </c>
      <c r="I1679" s="263">
        <v>88253604</v>
      </c>
      <c r="J1679" s="139" t="s">
        <v>2620</v>
      </c>
      <c r="K1679" s="142" t="s">
        <v>2621</v>
      </c>
    </row>
    <row r="1680" spans="1:11" x14ac:dyDescent="0.25">
      <c r="A1680" s="468"/>
      <c r="B1680" s="145" t="s">
        <v>153</v>
      </c>
      <c r="C1680" s="140" t="s">
        <v>1960</v>
      </c>
      <c r="D1680" s="140">
        <v>2</v>
      </c>
      <c r="E1680" s="263">
        <v>172213418</v>
      </c>
      <c r="F1680" s="145" t="s">
        <v>2622</v>
      </c>
      <c r="G1680" s="140" t="s">
        <v>1956</v>
      </c>
      <c r="H1680" s="140">
        <v>2</v>
      </c>
      <c r="I1680" s="263">
        <v>203335209</v>
      </c>
      <c r="J1680" s="139" t="s">
        <v>2623</v>
      </c>
      <c r="K1680" s="142" t="s">
        <v>2624</v>
      </c>
    </row>
    <row r="1681" spans="1:11" x14ac:dyDescent="0.25">
      <c r="A1681" s="468"/>
      <c r="B1681" s="145" t="s">
        <v>153</v>
      </c>
      <c r="C1681" s="140" t="s">
        <v>1954</v>
      </c>
      <c r="D1681" s="140">
        <v>3</v>
      </c>
      <c r="E1681" s="263">
        <v>19447940</v>
      </c>
      <c r="F1681" s="145" t="s">
        <v>2625</v>
      </c>
      <c r="G1681" s="140" t="s">
        <v>1956</v>
      </c>
      <c r="H1681" s="140">
        <v>3</v>
      </c>
      <c r="I1681" s="263">
        <v>19456653</v>
      </c>
      <c r="J1681" s="145" t="s">
        <v>2625</v>
      </c>
      <c r="K1681" s="222"/>
    </row>
    <row r="1682" spans="1:11" x14ac:dyDescent="0.25">
      <c r="A1682" s="468"/>
      <c r="B1682" s="145" t="s">
        <v>153</v>
      </c>
      <c r="C1682" s="140" t="s">
        <v>1960</v>
      </c>
      <c r="D1682" s="140">
        <v>3</v>
      </c>
      <c r="E1682" s="264">
        <v>115505427</v>
      </c>
      <c r="F1682" s="145" t="s">
        <v>2626</v>
      </c>
      <c r="G1682" s="140" t="s">
        <v>1956</v>
      </c>
      <c r="H1682" s="140">
        <v>3</v>
      </c>
      <c r="I1682" s="264">
        <v>116344076</v>
      </c>
      <c r="J1682" s="139" t="s">
        <v>2627</v>
      </c>
      <c r="K1682" s="142" t="s">
        <v>2553</v>
      </c>
    </row>
    <row r="1683" spans="1:11" x14ac:dyDescent="0.25">
      <c r="A1683" s="468"/>
      <c r="B1683" s="145" t="s">
        <v>153</v>
      </c>
      <c r="C1683" s="140" t="s">
        <v>1964</v>
      </c>
      <c r="D1683" s="220">
        <v>5</v>
      </c>
      <c r="E1683" s="263">
        <v>1230517</v>
      </c>
      <c r="F1683" s="145" t="s">
        <v>2150</v>
      </c>
      <c r="G1683" s="140" t="s">
        <v>1956</v>
      </c>
      <c r="H1683" s="220">
        <v>5</v>
      </c>
      <c r="I1683" s="263">
        <v>1243155</v>
      </c>
      <c r="J1683" s="139" t="s">
        <v>2150</v>
      </c>
      <c r="K1683" s="142" t="s">
        <v>2152</v>
      </c>
    </row>
    <row r="1684" spans="1:11" x14ac:dyDescent="0.25">
      <c r="A1684" s="468"/>
      <c r="B1684" s="145" t="s">
        <v>153</v>
      </c>
      <c r="C1684" s="140" t="s">
        <v>1975</v>
      </c>
      <c r="D1684" s="220">
        <v>5</v>
      </c>
      <c r="E1684" s="263">
        <v>1306069</v>
      </c>
      <c r="F1684" s="145" t="s">
        <v>2628</v>
      </c>
      <c r="G1684" s="140" t="s">
        <v>1956</v>
      </c>
      <c r="H1684" s="140">
        <v>8</v>
      </c>
      <c r="I1684" s="263">
        <v>37206026</v>
      </c>
      <c r="J1684" s="139" t="s">
        <v>2629</v>
      </c>
      <c r="K1684" s="142"/>
    </row>
    <row r="1685" spans="1:11" x14ac:dyDescent="0.25">
      <c r="A1685" s="468"/>
      <c r="B1685" s="145" t="s">
        <v>153</v>
      </c>
      <c r="C1685" s="140" t="s">
        <v>1960</v>
      </c>
      <c r="D1685" s="140">
        <v>5</v>
      </c>
      <c r="E1685" s="141">
        <v>79130161</v>
      </c>
      <c r="F1685" s="145" t="s">
        <v>2630</v>
      </c>
      <c r="G1685" s="140" t="s">
        <v>1956</v>
      </c>
      <c r="H1685" s="140">
        <v>5</v>
      </c>
      <c r="I1685" s="141">
        <v>79131118</v>
      </c>
      <c r="J1685" s="145" t="s">
        <v>2630</v>
      </c>
      <c r="K1685" s="222"/>
    </row>
    <row r="1686" spans="1:11" x14ac:dyDescent="0.25">
      <c r="A1686" s="468"/>
      <c r="B1686" s="145" t="s">
        <v>153</v>
      </c>
      <c r="C1686" s="140" t="s">
        <v>1954</v>
      </c>
      <c r="D1686" s="140">
        <v>6</v>
      </c>
      <c r="E1686" s="141">
        <v>34718132</v>
      </c>
      <c r="F1686" s="145" t="s">
        <v>2631</v>
      </c>
      <c r="G1686" s="140" t="s">
        <v>1956</v>
      </c>
      <c r="H1686" s="140">
        <v>6</v>
      </c>
      <c r="I1686" s="141">
        <v>34732437</v>
      </c>
      <c r="J1686" s="139" t="s">
        <v>2632</v>
      </c>
      <c r="K1686" s="142" t="s">
        <v>2633</v>
      </c>
    </row>
    <row r="1687" spans="1:11" x14ac:dyDescent="0.25">
      <c r="A1687" s="468"/>
      <c r="B1687" s="145" t="s">
        <v>153</v>
      </c>
      <c r="C1687" s="140" t="s">
        <v>1964</v>
      </c>
      <c r="D1687" s="140">
        <v>6</v>
      </c>
      <c r="E1687" s="141">
        <v>58076997</v>
      </c>
      <c r="F1687" s="145" t="s">
        <v>2634</v>
      </c>
      <c r="G1687" s="140" t="s">
        <v>1956</v>
      </c>
      <c r="H1687" s="140">
        <v>6</v>
      </c>
      <c r="I1687" s="141">
        <v>62128425</v>
      </c>
      <c r="J1687" s="139" t="s">
        <v>2635</v>
      </c>
      <c r="K1687" s="142"/>
    </row>
    <row r="1688" spans="1:11" x14ac:dyDescent="0.25">
      <c r="A1688" s="468"/>
      <c r="B1688" s="145" t="s">
        <v>153</v>
      </c>
      <c r="C1688" s="140" t="s">
        <v>1975</v>
      </c>
      <c r="D1688" s="140">
        <v>6</v>
      </c>
      <c r="E1688" s="263">
        <v>58770000</v>
      </c>
      <c r="F1688" s="145" t="s">
        <v>2635</v>
      </c>
      <c r="G1688" s="140" t="s">
        <v>1956</v>
      </c>
      <c r="H1688" s="140">
        <v>21</v>
      </c>
      <c r="I1688" s="263">
        <v>30862021</v>
      </c>
      <c r="J1688" s="139" t="s">
        <v>2636</v>
      </c>
      <c r="K1688" s="142"/>
    </row>
    <row r="1689" spans="1:11" x14ac:dyDescent="0.25">
      <c r="A1689" s="468"/>
      <c r="B1689" s="145" t="s">
        <v>153</v>
      </c>
      <c r="C1689" s="140" t="s">
        <v>1954</v>
      </c>
      <c r="D1689" s="221">
        <v>6</v>
      </c>
      <c r="E1689" s="265">
        <v>106748784</v>
      </c>
      <c r="F1689" s="219" t="s">
        <v>2637</v>
      </c>
      <c r="G1689" s="140" t="s">
        <v>1956</v>
      </c>
      <c r="H1689" s="221">
        <v>6</v>
      </c>
      <c r="I1689" s="265">
        <v>106801660</v>
      </c>
      <c r="J1689" s="139" t="s">
        <v>2638</v>
      </c>
      <c r="K1689" s="142" t="s">
        <v>2639</v>
      </c>
    </row>
    <row r="1690" spans="1:11" x14ac:dyDescent="0.25">
      <c r="A1690" s="468"/>
      <c r="B1690" s="145" t="s">
        <v>153</v>
      </c>
      <c r="C1690" s="140" t="s">
        <v>1975</v>
      </c>
      <c r="D1690" s="140">
        <v>7</v>
      </c>
      <c r="E1690" s="263">
        <v>13529654</v>
      </c>
      <c r="F1690" s="145" t="s">
        <v>2735</v>
      </c>
      <c r="G1690" s="140" t="s">
        <v>1956</v>
      </c>
      <c r="H1690" s="140">
        <v>8</v>
      </c>
      <c r="I1690" s="263">
        <v>114084164</v>
      </c>
      <c r="J1690" s="139" t="s">
        <v>2640</v>
      </c>
      <c r="K1690" s="142" t="s">
        <v>2641</v>
      </c>
    </row>
    <row r="1691" spans="1:11" x14ac:dyDescent="0.25">
      <c r="A1691" s="468"/>
      <c r="B1691" s="145" t="s">
        <v>153</v>
      </c>
      <c r="C1691" s="140" t="s">
        <v>1960</v>
      </c>
      <c r="D1691" s="140">
        <v>7</v>
      </c>
      <c r="E1691" s="141">
        <v>115675289</v>
      </c>
      <c r="F1691" s="145" t="s">
        <v>2642</v>
      </c>
      <c r="G1691" s="140" t="s">
        <v>1956</v>
      </c>
      <c r="H1691" s="221">
        <v>7</v>
      </c>
      <c r="I1691" s="141">
        <v>115720262</v>
      </c>
      <c r="J1691" s="145" t="s">
        <v>2642</v>
      </c>
      <c r="K1691" s="222"/>
    </row>
    <row r="1692" spans="1:11" x14ac:dyDescent="0.25">
      <c r="A1692" s="468"/>
      <c r="B1692" s="145" t="s">
        <v>153</v>
      </c>
      <c r="C1692" s="140" t="s">
        <v>1954</v>
      </c>
      <c r="D1692" s="140">
        <v>8</v>
      </c>
      <c r="E1692" s="141">
        <v>4334060</v>
      </c>
      <c r="F1692" s="145" t="s">
        <v>2643</v>
      </c>
      <c r="G1692" s="140" t="s">
        <v>1956</v>
      </c>
      <c r="H1692" s="140">
        <v>8</v>
      </c>
      <c r="I1692" s="141">
        <v>4334272</v>
      </c>
      <c r="J1692" s="145" t="s">
        <v>2643</v>
      </c>
      <c r="K1692" s="222"/>
    </row>
    <row r="1693" spans="1:11" x14ac:dyDescent="0.25">
      <c r="A1693" s="468"/>
      <c r="B1693" s="145" t="s">
        <v>153</v>
      </c>
      <c r="C1693" s="140" t="s">
        <v>1960</v>
      </c>
      <c r="D1693" s="140">
        <v>10</v>
      </c>
      <c r="E1693" s="141">
        <v>27412237</v>
      </c>
      <c r="F1693" s="145" t="s">
        <v>2644</v>
      </c>
      <c r="G1693" s="140" t="s">
        <v>1956</v>
      </c>
      <c r="H1693" s="140">
        <v>10</v>
      </c>
      <c r="I1693" s="141">
        <v>27412315</v>
      </c>
      <c r="J1693" s="145" t="s">
        <v>2644</v>
      </c>
      <c r="K1693" s="222"/>
    </row>
    <row r="1694" spans="1:11" x14ac:dyDescent="0.25">
      <c r="A1694" s="468"/>
      <c r="B1694" s="145" t="s">
        <v>153</v>
      </c>
      <c r="C1694" s="140" t="s">
        <v>1954</v>
      </c>
      <c r="D1694" s="140">
        <v>11</v>
      </c>
      <c r="E1694" s="141">
        <v>5418391</v>
      </c>
      <c r="F1694" s="145" t="s">
        <v>2645</v>
      </c>
      <c r="G1694" s="140" t="s">
        <v>1956</v>
      </c>
      <c r="H1694" s="140">
        <v>11</v>
      </c>
      <c r="I1694" s="141">
        <v>5580708</v>
      </c>
      <c r="J1694" s="145" t="s">
        <v>2646</v>
      </c>
      <c r="K1694" s="222" t="s">
        <v>2647</v>
      </c>
    </row>
    <row r="1695" spans="1:11" x14ac:dyDescent="0.25">
      <c r="A1695" s="468"/>
      <c r="B1695" s="145" t="s">
        <v>153</v>
      </c>
      <c r="C1695" s="140" t="s">
        <v>1960</v>
      </c>
      <c r="D1695" s="140">
        <v>11</v>
      </c>
      <c r="E1695" s="263">
        <v>59997555</v>
      </c>
      <c r="F1695" s="145" t="s">
        <v>2648</v>
      </c>
      <c r="G1695" s="140" t="s">
        <v>1956</v>
      </c>
      <c r="H1695" s="140">
        <v>11</v>
      </c>
      <c r="I1695" s="263">
        <v>68475125</v>
      </c>
      <c r="J1695" s="139" t="s">
        <v>2649</v>
      </c>
      <c r="K1695" s="142" t="s">
        <v>2650</v>
      </c>
    </row>
    <row r="1696" spans="1:11" x14ac:dyDescent="0.25">
      <c r="A1696" s="468"/>
      <c r="B1696" s="145" t="s">
        <v>153</v>
      </c>
      <c r="C1696" s="140" t="s">
        <v>1954</v>
      </c>
      <c r="D1696" s="221">
        <v>11</v>
      </c>
      <c r="E1696" s="265">
        <v>70217483</v>
      </c>
      <c r="F1696" s="145" t="s">
        <v>2651</v>
      </c>
      <c r="G1696" s="140" t="s">
        <v>1956</v>
      </c>
      <c r="H1696" s="221">
        <v>11</v>
      </c>
      <c r="I1696" s="265">
        <v>70565781</v>
      </c>
      <c r="J1696" s="139" t="s">
        <v>2652</v>
      </c>
      <c r="K1696" s="142" t="s">
        <v>2653</v>
      </c>
    </row>
    <row r="1697" spans="1:11" x14ac:dyDescent="0.25">
      <c r="A1697" s="468"/>
      <c r="B1697" s="145" t="s">
        <v>153</v>
      </c>
      <c r="C1697" s="140" t="s">
        <v>1960</v>
      </c>
      <c r="D1697" s="140">
        <v>11</v>
      </c>
      <c r="E1697" s="141">
        <v>70224562</v>
      </c>
      <c r="F1697" s="145" t="s">
        <v>2651</v>
      </c>
      <c r="G1697" s="140" t="s">
        <v>1956</v>
      </c>
      <c r="H1697" s="140">
        <v>11</v>
      </c>
      <c r="I1697" s="141">
        <v>70227042</v>
      </c>
      <c r="J1697" s="145" t="s">
        <v>2651</v>
      </c>
      <c r="K1697" s="222" t="s">
        <v>2654</v>
      </c>
    </row>
    <row r="1698" spans="1:11" x14ac:dyDescent="0.25">
      <c r="A1698" s="468"/>
      <c r="B1698" s="145" t="s">
        <v>153</v>
      </c>
      <c r="C1698" s="140" t="s">
        <v>1954</v>
      </c>
      <c r="D1698" s="140">
        <v>14</v>
      </c>
      <c r="E1698" s="141">
        <v>37877125</v>
      </c>
      <c r="F1698" s="145" t="s">
        <v>2655</v>
      </c>
      <c r="G1698" s="140" t="s">
        <v>1956</v>
      </c>
      <c r="H1698" s="140">
        <v>14</v>
      </c>
      <c r="I1698" s="141">
        <v>37886485</v>
      </c>
      <c r="J1698" s="145" t="s">
        <v>2655</v>
      </c>
      <c r="K1698" s="222"/>
    </row>
    <row r="1699" spans="1:11" x14ac:dyDescent="0.25">
      <c r="A1699" s="468"/>
      <c r="B1699" s="145" t="s">
        <v>153</v>
      </c>
      <c r="C1699" s="140" t="s">
        <v>1975</v>
      </c>
      <c r="D1699" s="140">
        <v>14</v>
      </c>
      <c r="E1699" s="263">
        <v>53118511</v>
      </c>
      <c r="F1699" s="145" t="s">
        <v>2656</v>
      </c>
      <c r="G1699" s="140" t="s">
        <v>1956</v>
      </c>
      <c r="H1699" s="140">
        <v>21</v>
      </c>
      <c r="I1699" s="263">
        <v>30861880</v>
      </c>
      <c r="J1699" s="139" t="s">
        <v>2636</v>
      </c>
      <c r="K1699" s="142" t="s">
        <v>2657</v>
      </c>
    </row>
    <row r="1700" spans="1:11" x14ac:dyDescent="0.25">
      <c r="A1700" s="468"/>
      <c r="B1700" s="145" t="s">
        <v>153</v>
      </c>
      <c r="C1700" s="140" t="s">
        <v>1960</v>
      </c>
      <c r="D1700" s="140">
        <v>14</v>
      </c>
      <c r="E1700" s="141">
        <v>103522899</v>
      </c>
      <c r="F1700" s="145" t="s">
        <v>2658</v>
      </c>
      <c r="G1700" s="140" t="s">
        <v>1956</v>
      </c>
      <c r="H1700" s="140">
        <v>14</v>
      </c>
      <c r="I1700" s="141">
        <v>103524870</v>
      </c>
      <c r="J1700" s="145" t="s">
        <v>2659</v>
      </c>
      <c r="K1700" s="222" t="s">
        <v>2660</v>
      </c>
    </row>
    <row r="1701" spans="1:11" x14ac:dyDescent="0.25">
      <c r="A1701" s="468"/>
      <c r="B1701" s="145" t="s">
        <v>153</v>
      </c>
      <c r="C1701" s="140" t="s">
        <v>1960</v>
      </c>
      <c r="D1701" s="140">
        <v>16</v>
      </c>
      <c r="E1701" s="141">
        <v>73063599</v>
      </c>
      <c r="F1701" s="145" t="s">
        <v>2661</v>
      </c>
      <c r="G1701" s="140" t="s">
        <v>1956</v>
      </c>
      <c r="H1701" s="140">
        <v>16</v>
      </c>
      <c r="I1701" s="141">
        <v>73175484</v>
      </c>
      <c r="J1701" s="145" t="s">
        <v>2662</v>
      </c>
      <c r="K1701" s="222" t="s">
        <v>2663</v>
      </c>
    </row>
    <row r="1702" spans="1:11" x14ac:dyDescent="0.25">
      <c r="A1702" s="468"/>
      <c r="B1702" s="145" t="s">
        <v>153</v>
      </c>
      <c r="C1702" s="140" t="s">
        <v>1960</v>
      </c>
      <c r="D1702" s="140">
        <v>17</v>
      </c>
      <c r="E1702" s="141">
        <v>39535194</v>
      </c>
      <c r="F1702" s="145" t="s">
        <v>2664</v>
      </c>
      <c r="G1702" s="140" t="s">
        <v>1956</v>
      </c>
      <c r="H1702" s="140">
        <v>17</v>
      </c>
      <c r="I1702" s="141">
        <v>39535271</v>
      </c>
      <c r="J1702" s="145" t="s">
        <v>2664</v>
      </c>
      <c r="K1702" s="142" t="s">
        <v>2665</v>
      </c>
    </row>
    <row r="1703" spans="1:11" x14ac:dyDescent="0.25">
      <c r="A1703" s="468"/>
      <c r="B1703" s="145" t="s">
        <v>153</v>
      </c>
      <c r="C1703" s="140" t="s">
        <v>1960</v>
      </c>
      <c r="D1703" s="140">
        <v>18</v>
      </c>
      <c r="E1703" s="141">
        <v>32809854</v>
      </c>
      <c r="F1703" s="145" t="s">
        <v>2666</v>
      </c>
      <c r="G1703" s="140" t="s">
        <v>1956</v>
      </c>
      <c r="H1703" s="140">
        <v>18</v>
      </c>
      <c r="I1703" s="141">
        <v>32810127</v>
      </c>
      <c r="J1703" s="145" t="s">
        <v>2666</v>
      </c>
      <c r="K1703" s="142"/>
    </row>
    <row r="1704" spans="1:11" x14ac:dyDescent="0.25">
      <c r="A1704" s="468"/>
      <c r="B1704" s="145" t="s">
        <v>153</v>
      </c>
      <c r="C1704" s="140" t="s">
        <v>1964</v>
      </c>
      <c r="D1704" s="140">
        <v>19</v>
      </c>
      <c r="E1704" s="141">
        <v>283361</v>
      </c>
      <c r="F1704" s="145" t="s">
        <v>2667</v>
      </c>
      <c r="G1704" s="140" t="s">
        <v>1956</v>
      </c>
      <c r="H1704" s="140">
        <v>19</v>
      </c>
      <c r="I1704" s="141">
        <v>17526290</v>
      </c>
      <c r="J1704" s="145" t="s">
        <v>2668</v>
      </c>
      <c r="K1704" s="142" t="s">
        <v>2669</v>
      </c>
    </row>
    <row r="1705" spans="1:11" x14ac:dyDescent="0.25">
      <c r="A1705" s="468"/>
      <c r="B1705" s="145" t="s">
        <v>153</v>
      </c>
      <c r="C1705" s="140" t="s">
        <v>1964</v>
      </c>
      <c r="D1705" s="140">
        <v>19</v>
      </c>
      <c r="E1705" s="141">
        <v>17520631</v>
      </c>
      <c r="F1705" s="145" t="s">
        <v>2670</v>
      </c>
      <c r="G1705" s="140" t="s">
        <v>1956</v>
      </c>
      <c r="H1705" s="140">
        <v>19</v>
      </c>
      <c r="I1705" s="141">
        <v>28957578</v>
      </c>
      <c r="J1705" s="145" t="s">
        <v>2671</v>
      </c>
      <c r="K1705" s="142" t="s">
        <v>2672</v>
      </c>
    </row>
    <row r="1706" spans="1:11" ht="15.75" thickBot="1" x14ac:dyDescent="0.3">
      <c r="A1706" s="469"/>
      <c r="B1706" s="223" t="s">
        <v>153</v>
      </c>
      <c r="C1706" s="224" t="s">
        <v>1954</v>
      </c>
      <c r="D1706" s="224">
        <v>22</v>
      </c>
      <c r="E1706" s="266">
        <v>18488788</v>
      </c>
      <c r="F1706" s="223" t="s">
        <v>2673</v>
      </c>
      <c r="G1706" s="224" t="s">
        <v>1956</v>
      </c>
      <c r="H1706" s="224">
        <v>22</v>
      </c>
      <c r="I1706" s="266">
        <v>18489059</v>
      </c>
      <c r="J1706" s="223" t="s">
        <v>2673</v>
      </c>
      <c r="K1706" s="328"/>
    </row>
    <row r="1707" spans="1:11" s="227" customFormat="1" x14ac:dyDescent="0.25">
      <c r="A1707" s="478" t="s">
        <v>4167</v>
      </c>
      <c r="B1707" s="280" t="s">
        <v>3749</v>
      </c>
      <c r="C1707" s="282" t="s">
        <v>1960</v>
      </c>
      <c r="D1707" s="281">
        <v>1</v>
      </c>
      <c r="E1707" s="280">
        <v>49194298</v>
      </c>
      <c r="F1707" s="280" t="s">
        <v>3625</v>
      </c>
      <c r="G1707" s="301" t="s">
        <v>3626</v>
      </c>
      <c r="H1707" s="281">
        <v>1</v>
      </c>
      <c r="I1707" s="280">
        <v>49812382</v>
      </c>
      <c r="J1707" s="280" t="s">
        <v>3625</v>
      </c>
      <c r="K1707" s="282" t="s">
        <v>3627</v>
      </c>
    </row>
    <row r="1708" spans="1:11" s="227" customFormat="1" x14ac:dyDescent="0.25">
      <c r="A1708" s="479"/>
      <c r="B1708" s="280" t="s">
        <v>3749</v>
      </c>
      <c r="C1708" s="282" t="s">
        <v>1975</v>
      </c>
      <c r="D1708" s="281">
        <v>1</v>
      </c>
      <c r="E1708" s="280">
        <v>79773642</v>
      </c>
      <c r="F1708" s="280" t="s">
        <v>3628</v>
      </c>
      <c r="G1708" s="301" t="s">
        <v>3626</v>
      </c>
      <c r="H1708" s="281">
        <v>10</v>
      </c>
      <c r="I1708" s="280">
        <v>72031951</v>
      </c>
      <c r="J1708" s="280" t="s">
        <v>3629</v>
      </c>
      <c r="K1708" s="282" t="s">
        <v>3630</v>
      </c>
    </row>
    <row r="1709" spans="1:11" s="227" customFormat="1" x14ac:dyDescent="0.25">
      <c r="A1709" s="479"/>
      <c r="B1709" s="280" t="s">
        <v>3749</v>
      </c>
      <c r="C1709" s="282" t="s">
        <v>1975</v>
      </c>
      <c r="D1709" s="281">
        <v>1</v>
      </c>
      <c r="E1709" s="280">
        <v>80107598</v>
      </c>
      <c r="F1709" s="280" t="s">
        <v>3628</v>
      </c>
      <c r="G1709" s="301" t="s">
        <v>3626</v>
      </c>
      <c r="H1709" s="281">
        <v>6</v>
      </c>
      <c r="I1709" s="280">
        <v>16888643</v>
      </c>
      <c r="J1709" s="280" t="s">
        <v>3631</v>
      </c>
      <c r="K1709" s="282"/>
    </row>
    <row r="1710" spans="1:11" s="227" customFormat="1" x14ac:dyDescent="0.25">
      <c r="A1710" s="479"/>
      <c r="B1710" s="280" t="s">
        <v>3749</v>
      </c>
      <c r="C1710" s="282" t="s">
        <v>1960</v>
      </c>
      <c r="D1710" s="281">
        <v>1</v>
      </c>
      <c r="E1710" s="280">
        <v>204024048</v>
      </c>
      <c r="F1710" s="280" t="s">
        <v>3632</v>
      </c>
      <c r="G1710" s="301" t="s">
        <v>3626</v>
      </c>
      <c r="H1710" s="281">
        <v>1</v>
      </c>
      <c r="I1710" s="280">
        <v>204026024</v>
      </c>
      <c r="J1710" s="280" t="s">
        <v>3632</v>
      </c>
      <c r="K1710" s="282" t="s">
        <v>3633</v>
      </c>
    </row>
    <row r="1711" spans="1:11" s="227" customFormat="1" x14ac:dyDescent="0.25">
      <c r="A1711" s="479"/>
      <c r="B1711" s="280" t="s">
        <v>3749</v>
      </c>
      <c r="C1711" s="282" t="s">
        <v>3634</v>
      </c>
      <c r="D1711" s="281">
        <v>1</v>
      </c>
      <c r="E1711" s="280">
        <v>231251387</v>
      </c>
      <c r="F1711" s="280" t="s">
        <v>3635</v>
      </c>
      <c r="G1711" s="301" t="s">
        <v>3626</v>
      </c>
      <c r="H1711" s="281" t="s">
        <v>3750</v>
      </c>
      <c r="I1711" s="280"/>
      <c r="J1711" s="280" t="s">
        <v>3636</v>
      </c>
      <c r="K1711" s="282"/>
    </row>
    <row r="1712" spans="1:11" s="227" customFormat="1" x14ac:dyDescent="0.25">
      <c r="A1712" s="479"/>
      <c r="B1712" s="280" t="s">
        <v>3749</v>
      </c>
      <c r="C1712" s="282" t="s">
        <v>3634</v>
      </c>
      <c r="D1712" s="281">
        <v>8</v>
      </c>
      <c r="E1712" s="280">
        <v>145029629</v>
      </c>
      <c r="F1712" s="280" t="s">
        <v>3637</v>
      </c>
      <c r="G1712" s="301" t="s">
        <v>3626</v>
      </c>
      <c r="H1712" s="281" t="s">
        <v>3750</v>
      </c>
      <c r="I1712" s="280"/>
      <c r="J1712" s="280" t="s">
        <v>3636</v>
      </c>
      <c r="K1712" s="282" t="s">
        <v>315</v>
      </c>
    </row>
    <row r="1713" spans="1:11" s="227" customFormat="1" x14ac:dyDescent="0.25">
      <c r="A1713" s="479"/>
      <c r="B1713" s="280" t="s">
        <v>3749</v>
      </c>
      <c r="C1713" s="282" t="s">
        <v>1960</v>
      </c>
      <c r="D1713" s="281">
        <v>10</v>
      </c>
      <c r="E1713" s="280">
        <v>127790893</v>
      </c>
      <c r="F1713" s="280" t="s">
        <v>3638</v>
      </c>
      <c r="G1713" s="301" t="s">
        <v>3626</v>
      </c>
      <c r="H1713" s="281">
        <v>10</v>
      </c>
      <c r="I1713" s="280">
        <v>127818255</v>
      </c>
      <c r="J1713" s="280" t="s">
        <v>3638</v>
      </c>
      <c r="K1713" s="282" t="s">
        <v>3639</v>
      </c>
    </row>
    <row r="1714" spans="1:11" s="227" customFormat="1" x14ac:dyDescent="0.25">
      <c r="A1714" s="479"/>
      <c r="B1714" s="280" t="s">
        <v>3749</v>
      </c>
      <c r="C1714" s="282" t="s">
        <v>1954</v>
      </c>
      <c r="D1714" s="281">
        <v>17</v>
      </c>
      <c r="E1714" s="280">
        <v>37246351</v>
      </c>
      <c r="F1714" s="280" t="s">
        <v>3640</v>
      </c>
      <c r="G1714" s="301" t="s">
        <v>3626</v>
      </c>
      <c r="H1714" s="281">
        <v>17</v>
      </c>
      <c r="I1714" s="280">
        <v>37246844</v>
      </c>
      <c r="J1714" s="280" t="s">
        <v>3640</v>
      </c>
      <c r="K1714" s="282" t="s">
        <v>3641</v>
      </c>
    </row>
    <row r="1715" spans="1:11" s="227" customFormat="1" x14ac:dyDescent="0.25">
      <c r="A1715" s="479"/>
      <c r="B1715" s="280" t="s">
        <v>3749</v>
      </c>
      <c r="C1715" s="282" t="s">
        <v>1975</v>
      </c>
      <c r="D1715" s="281">
        <v>18</v>
      </c>
      <c r="E1715" s="280">
        <v>7966538</v>
      </c>
      <c r="F1715" s="280" t="s">
        <v>2445</v>
      </c>
      <c r="G1715" s="301" t="s">
        <v>3626</v>
      </c>
      <c r="H1715" s="281">
        <v>18</v>
      </c>
      <c r="I1715" s="280">
        <v>8063397</v>
      </c>
      <c r="J1715" s="280" t="s">
        <v>2445</v>
      </c>
      <c r="K1715" s="282" t="s">
        <v>3642</v>
      </c>
    </row>
    <row r="1716" spans="1:11" s="227" customFormat="1" x14ac:dyDescent="0.25">
      <c r="A1716" s="479"/>
      <c r="B1716" s="280" t="s">
        <v>3749</v>
      </c>
      <c r="C1716" s="282" t="s">
        <v>1975</v>
      </c>
      <c r="D1716" s="281">
        <v>21</v>
      </c>
      <c r="E1716" s="280">
        <v>10461033</v>
      </c>
      <c r="F1716" s="280" t="s">
        <v>3643</v>
      </c>
      <c r="G1716" s="301" t="s">
        <v>3626</v>
      </c>
      <c r="H1716" s="281">
        <v>21</v>
      </c>
      <c r="I1716" s="280">
        <v>18238960</v>
      </c>
      <c r="J1716" s="280" t="s">
        <v>3644</v>
      </c>
      <c r="K1716" s="282"/>
    </row>
    <row r="1717" spans="1:11" s="227" customFormat="1" x14ac:dyDescent="0.25">
      <c r="A1717" s="479"/>
      <c r="B1717" s="280" t="s">
        <v>3749</v>
      </c>
      <c r="C1717" s="282" t="s">
        <v>1960</v>
      </c>
      <c r="D1717" s="281" t="s">
        <v>379</v>
      </c>
      <c r="E1717" s="280">
        <v>73055211</v>
      </c>
      <c r="F1717" s="280" t="s">
        <v>3645</v>
      </c>
      <c r="G1717" s="301" t="s">
        <v>3626</v>
      </c>
      <c r="H1717" s="281" t="s">
        <v>379</v>
      </c>
      <c r="I1717" s="280">
        <v>73058324</v>
      </c>
      <c r="J1717" s="280" t="s">
        <v>3645</v>
      </c>
      <c r="K1717" s="282" t="s">
        <v>3646</v>
      </c>
    </row>
    <row r="1718" spans="1:11" s="227" customFormat="1" x14ac:dyDescent="0.25">
      <c r="A1718" s="479"/>
      <c r="B1718" s="284" t="s">
        <v>504</v>
      </c>
      <c r="C1718" s="286" t="s">
        <v>1975</v>
      </c>
      <c r="D1718" s="285">
        <v>1</v>
      </c>
      <c r="E1718" s="284">
        <v>7533510</v>
      </c>
      <c r="F1718" s="284" t="s">
        <v>1955</v>
      </c>
      <c r="G1718" s="303" t="s">
        <v>3626</v>
      </c>
      <c r="H1718" s="285">
        <v>1</v>
      </c>
      <c r="I1718" s="284">
        <v>72242752</v>
      </c>
      <c r="J1718" s="314" t="s">
        <v>3648</v>
      </c>
      <c r="K1718" s="286" t="s">
        <v>1957</v>
      </c>
    </row>
    <row r="1719" spans="1:11" s="227" customFormat="1" x14ac:dyDescent="0.25">
      <c r="A1719" s="479"/>
      <c r="B1719" s="284" t="s">
        <v>504</v>
      </c>
      <c r="C1719" s="286" t="s">
        <v>1975</v>
      </c>
      <c r="D1719" s="285">
        <v>1</v>
      </c>
      <c r="E1719" s="284">
        <v>7535303</v>
      </c>
      <c r="F1719" s="284" t="s">
        <v>1955</v>
      </c>
      <c r="G1719" s="303" t="s">
        <v>3626</v>
      </c>
      <c r="H1719" s="285">
        <v>1</v>
      </c>
      <c r="I1719" s="284">
        <v>72283782</v>
      </c>
      <c r="J1719" s="284" t="s">
        <v>3648</v>
      </c>
      <c r="K1719" s="286" t="s">
        <v>3647</v>
      </c>
    </row>
    <row r="1720" spans="1:11" s="227" customFormat="1" x14ac:dyDescent="0.25">
      <c r="A1720" s="479"/>
      <c r="B1720" s="284" t="s">
        <v>504</v>
      </c>
      <c r="C1720" s="286" t="s">
        <v>1975</v>
      </c>
      <c r="D1720" s="285">
        <v>1</v>
      </c>
      <c r="E1720" s="284">
        <v>15851403</v>
      </c>
      <c r="F1720" s="284" t="s">
        <v>3649</v>
      </c>
      <c r="G1720" s="303" t="s">
        <v>3626</v>
      </c>
      <c r="H1720" s="285">
        <v>3</v>
      </c>
      <c r="I1720" s="284">
        <v>87874813</v>
      </c>
      <c r="J1720" s="284" t="s">
        <v>3650</v>
      </c>
      <c r="K1720" s="286" t="s">
        <v>3651</v>
      </c>
    </row>
    <row r="1721" spans="1:11" s="227" customFormat="1" x14ac:dyDescent="0.25">
      <c r="A1721" s="479"/>
      <c r="B1721" s="284" t="s">
        <v>504</v>
      </c>
      <c r="C1721" s="286" t="s">
        <v>3634</v>
      </c>
      <c r="D1721" s="285">
        <v>1</v>
      </c>
      <c r="E1721" s="284">
        <v>18851400</v>
      </c>
      <c r="F1721" s="284" t="s">
        <v>3652</v>
      </c>
      <c r="G1721" s="303" t="s">
        <v>3626</v>
      </c>
      <c r="H1721" s="285" t="s">
        <v>3750</v>
      </c>
      <c r="I1721" s="284"/>
      <c r="J1721" s="284"/>
      <c r="K1721" s="286"/>
    </row>
    <row r="1722" spans="1:11" s="227" customFormat="1" x14ac:dyDescent="0.25">
      <c r="A1722" s="479"/>
      <c r="B1722" s="284" t="s">
        <v>504</v>
      </c>
      <c r="C1722" s="286" t="s">
        <v>2065</v>
      </c>
      <c r="D1722" s="285">
        <v>4</v>
      </c>
      <c r="E1722" s="284">
        <v>7889231</v>
      </c>
      <c r="F1722" s="284" t="s">
        <v>3653</v>
      </c>
      <c r="G1722" s="303" t="s">
        <v>3626</v>
      </c>
      <c r="H1722" s="285">
        <v>4</v>
      </c>
      <c r="I1722" s="284">
        <v>7889231</v>
      </c>
      <c r="J1722" s="284" t="s">
        <v>3653</v>
      </c>
      <c r="K1722" s="286" t="s">
        <v>3654</v>
      </c>
    </row>
    <row r="1723" spans="1:11" s="227" customFormat="1" x14ac:dyDescent="0.25">
      <c r="A1723" s="479"/>
      <c r="B1723" s="284" t="s">
        <v>504</v>
      </c>
      <c r="C1723" s="286" t="s">
        <v>1954</v>
      </c>
      <c r="D1723" s="285">
        <v>5</v>
      </c>
      <c r="E1723" s="284">
        <v>146331300</v>
      </c>
      <c r="F1723" s="284" t="s">
        <v>3655</v>
      </c>
      <c r="G1723" s="303" t="s">
        <v>3626</v>
      </c>
      <c r="H1723" s="285">
        <v>5</v>
      </c>
      <c r="I1723" s="284">
        <v>146431848</v>
      </c>
      <c r="J1723" s="284" t="s">
        <v>3655</v>
      </c>
      <c r="K1723" s="286" t="s">
        <v>3656</v>
      </c>
    </row>
    <row r="1724" spans="1:11" s="227" customFormat="1" x14ac:dyDescent="0.25">
      <c r="A1724" s="479"/>
      <c r="B1724" s="284" t="s">
        <v>504</v>
      </c>
      <c r="C1724" s="286" t="s">
        <v>1954</v>
      </c>
      <c r="D1724" s="285">
        <v>6</v>
      </c>
      <c r="E1724" s="284">
        <v>33250775</v>
      </c>
      <c r="F1724" s="284" t="s">
        <v>3657</v>
      </c>
      <c r="G1724" s="303" t="s">
        <v>3626</v>
      </c>
      <c r="H1724" s="285">
        <v>6</v>
      </c>
      <c r="I1724" s="284">
        <v>33319163</v>
      </c>
      <c r="J1724" s="284" t="s">
        <v>3658</v>
      </c>
      <c r="K1724" s="286" t="s">
        <v>3659</v>
      </c>
    </row>
    <row r="1725" spans="1:11" s="227" customFormat="1" x14ac:dyDescent="0.25">
      <c r="A1725" s="479"/>
      <c r="B1725" s="284" t="s">
        <v>504</v>
      </c>
      <c r="C1725" s="286" t="s">
        <v>1954</v>
      </c>
      <c r="D1725" s="285">
        <v>8</v>
      </c>
      <c r="E1725" s="284">
        <v>79679405</v>
      </c>
      <c r="F1725" s="284" t="s">
        <v>3661</v>
      </c>
      <c r="G1725" s="303" t="s">
        <v>3626</v>
      </c>
      <c r="H1725" s="285">
        <v>8</v>
      </c>
      <c r="I1725" s="284">
        <v>79825987</v>
      </c>
      <c r="J1725" s="284" t="s">
        <v>3662</v>
      </c>
      <c r="K1725" s="286" t="s">
        <v>3663</v>
      </c>
    </row>
    <row r="1726" spans="1:11" s="227" customFormat="1" x14ac:dyDescent="0.25">
      <c r="A1726" s="479"/>
      <c r="B1726" s="284" t="s">
        <v>504</v>
      </c>
      <c r="C1726" s="286" t="s">
        <v>1975</v>
      </c>
      <c r="D1726" s="285">
        <v>9</v>
      </c>
      <c r="E1726" s="284">
        <v>112393643</v>
      </c>
      <c r="F1726" s="284" t="s">
        <v>3665</v>
      </c>
      <c r="G1726" s="303" t="s">
        <v>3626</v>
      </c>
      <c r="H1726" s="285">
        <v>9</v>
      </c>
      <c r="I1726" s="284">
        <v>112407705</v>
      </c>
      <c r="J1726" s="284" t="s">
        <v>3666</v>
      </c>
      <c r="K1726" s="286" t="s">
        <v>3667</v>
      </c>
    </row>
    <row r="1727" spans="1:11" s="227" customFormat="1" x14ac:dyDescent="0.25">
      <c r="A1727" s="479"/>
      <c r="B1727" s="284" t="s">
        <v>504</v>
      </c>
      <c r="C1727" s="286" t="s">
        <v>1960</v>
      </c>
      <c r="D1727" s="285">
        <v>10</v>
      </c>
      <c r="E1727" s="284">
        <v>65261946</v>
      </c>
      <c r="F1727" s="284" t="s">
        <v>3668</v>
      </c>
      <c r="G1727" s="303" t="s">
        <v>3626</v>
      </c>
      <c r="H1727" s="285">
        <v>10</v>
      </c>
      <c r="I1727" s="284">
        <v>65820119</v>
      </c>
      <c r="J1727" s="284" t="s">
        <v>3669</v>
      </c>
      <c r="K1727" s="286"/>
    </row>
    <row r="1728" spans="1:11" s="227" customFormat="1" x14ac:dyDescent="0.25">
      <c r="A1728" s="479"/>
      <c r="B1728" s="284" t="s">
        <v>504</v>
      </c>
      <c r="C1728" s="286" t="s">
        <v>1975</v>
      </c>
      <c r="D1728" s="285">
        <v>12</v>
      </c>
      <c r="E1728" s="284">
        <v>133839997</v>
      </c>
      <c r="F1728" s="284" t="s">
        <v>3671</v>
      </c>
      <c r="G1728" s="303" t="s">
        <v>3626</v>
      </c>
      <c r="H1728" s="285">
        <v>12</v>
      </c>
      <c r="I1728" s="284">
        <v>133840328</v>
      </c>
      <c r="J1728" s="284" t="s">
        <v>3671</v>
      </c>
      <c r="K1728" s="286" t="s">
        <v>3672</v>
      </c>
    </row>
    <row r="1729" spans="1:11" s="227" customFormat="1" x14ac:dyDescent="0.25">
      <c r="A1729" s="479"/>
      <c r="B1729" s="284" t="s">
        <v>504</v>
      </c>
      <c r="C1729" s="286" t="s">
        <v>1960</v>
      </c>
      <c r="D1729" s="285">
        <v>15</v>
      </c>
      <c r="E1729" s="284">
        <v>100945005</v>
      </c>
      <c r="F1729" s="284" t="s">
        <v>3673</v>
      </c>
      <c r="G1729" s="303" t="s">
        <v>3626</v>
      </c>
      <c r="H1729" s="285">
        <v>15</v>
      </c>
      <c r="I1729" s="284">
        <v>100971967</v>
      </c>
      <c r="J1729" s="284" t="s">
        <v>3673</v>
      </c>
      <c r="K1729" s="286" t="s">
        <v>3674</v>
      </c>
    </row>
    <row r="1730" spans="1:11" s="227" customFormat="1" x14ac:dyDescent="0.25">
      <c r="A1730" s="479"/>
      <c r="B1730" s="284" t="s">
        <v>504</v>
      </c>
      <c r="C1730" s="286" t="s">
        <v>1954</v>
      </c>
      <c r="D1730" s="285">
        <v>18</v>
      </c>
      <c r="E1730" s="284">
        <v>25062239</v>
      </c>
      <c r="F1730" s="284" t="s">
        <v>3675</v>
      </c>
      <c r="G1730" s="303" t="s">
        <v>3626</v>
      </c>
      <c r="H1730" s="285">
        <v>18</v>
      </c>
      <c r="I1730" s="284">
        <v>25143204</v>
      </c>
      <c r="J1730" s="284" t="s">
        <v>3675</v>
      </c>
      <c r="K1730" s="286"/>
    </row>
    <row r="1731" spans="1:11" s="227" customFormat="1" x14ac:dyDescent="0.25">
      <c r="A1731" s="479"/>
      <c r="B1731" s="284" t="s">
        <v>504</v>
      </c>
      <c r="C1731" s="286" t="s">
        <v>1975</v>
      </c>
      <c r="D1731" s="285">
        <v>21</v>
      </c>
      <c r="E1731" s="284">
        <v>10461033</v>
      </c>
      <c r="F1731" s="284" t="s">
        <v>3643</v>
      </c>
      <c r="G1731" s="303" t="s">
        <v>3626</v>
      </c>
      <c r="H1731" s="285">
        <v>21</v>
      </c>
      <c r="I1731" s="284">
        <v>18238960</v>
      </c>
      <c r="J1731" s="284" t="s">
        <v>3644</v>
      </c>
      <c r="K1731" s="286"/>
    </row>
    <row r="1732" spans="1:11" s="227" customFormat="1" x14ac:dyDescent="0.25">
      <c r="A1732" s="479"/>
      <c r="B1732" s="284" t="s">
        <v>504</v>
      </c>
      <c r="C1732" s="286" t="s">
        <v>1975</v>
      </c>
      <c r="D1732" s="285">
        <v>21</v>
      </c>
      <c r="E1732" s="284">
        <v>14782157</v>
      </c>
      <c r="F1732" s="284" t="s">
        <v>3676</v>
      </c>
      <c r="G1732" s="303" t="s">
        <v>3626</v>
      </c>
      <c r="H1732" s="285">
        <v>21</v>
      </c>
      <c r="I1732" s="284">
        <v>20197575</v>
      </c>
      <c r="J1732" s="284" t="s">
        <v>3677</v>
      </c>
      <c r="K1732" s="286"/>
    </row>
    <row r="1733" spans="1:11" s="227" customFormat="1" x14ac:dyDescent="0.25">
      <c r="A1733" s="479"/>
      <c r="B1733" s="284" t="s">
        <v>504</v>
      </c>
      <c r="C1733" s="286" t="s">
        <v>1954</v>
      </c>
      <c r="D1733" s="285" t="s">
        <v>379</v>
      </c>
      <c r="E1733" s="284">
        <v>76800300</v>
      </c>
      <c r="F1733" s="311" t="s">
        <v>2008</v>
      </c>
      <c r="G1733" s="312" t="s">
        <v>3626</v>
      </c>
      <c r="H1733" s="313" t="s">
        <v>379</v>
      </c>
      <c r="I1733" s="311">
        <v>76847812</v>
      </c>
      <c r="J1733" s="311" t="s">
        <v>2008</v>
      </c>
      <c r="K1733" s="286" t="s">
        <v>2009</v>
      </c>
    </row>
    <row r="1734" spans="1:11" s="227" customFormat="1" x14ac:dyDescent="0.25">
      <c r="A1734" s="479"/>
      <c r="B1734" s="284" t="s">
        <v>504</v>
      </c>
      <c r="C1734" s="284" t="s">
        <v>1954</v>
      </c>
      <c r="D1734" s="285" t="s">
        <v>379</v>
      </c>
      <c r="E1734" s="284">
        <v>115163195</v>
      </c>
      <c r="F1734" s="311" t="s">
        <v>3678</v>
      </c>
      <c r="G1734" s="312" t="s">
        <v>3626</v>
      </c>
      <c r="H1734" s="313" t="s">
        <v>379</v>
      </c>
      <c r="I1734" s="311">
        <v>115234635</v>
      </c>
      <c r="J1734" s="311" t="s">
        <v>3678</v>
      </c>
      <c r="K1734" s="286" t="s">
        <v>3660</v>
      </c>
    </row>
    <row r="1735" spans="1:11" s="227" customFormat="1" x14ac:dyDescent="0.25">
      <c r="A1735" s="479"/>
      <c r="B1735" s="295" t="s">
        <v>153</v>
      </c>
      <c r="C1735" s="297" t="s">
        <v>1954</v>
      </c>
      <c r="D1735" s="296">
        <v>1</v>
      </c>
      <c r="E1735" s="295">
        <v>71352761</v>
      </c>
      <c r="F1735" s="295" t="s">
        <v>3679</v>
      </c>
      <c r="G1735" s="302" t="s">
        <v>3626</v>
      </c>
      <c r="H1735" s="296">
        <v>1</v>
      </c>
      <c r="I1735" s="295">
        <v>71554663</v>
      </c>
      <c r="J1735" s="295" t="s">
        <v>3680</v>
      </c>
      <c r="K1735" s="297" t="s">
        <v>3681</v>
      </c>
    </row>
    <row r="1736" spans="1:11" s="227" customFormat="1" x14ac:dyDescent="0.25">
      <c r="A1736" s="479"/>
      <c r="B1736" s="295" t="s">
        <v>153</v>
      </c>
      <c r="C1736" s="297" t="s">
        <v>1960</v>
      </c>
      <c r="D1736" s="296">
        <v>1</v>
      </c>
      <c r="E1736" s="295">
        <v>151274114</v>
      </c>
      <c r="F1736" s="295" t="s">
        <v>3682</v>
      </c>
      <c r="G1736" s="302" t="s">
        <v>3626</v>
      </c>
      <c r="H1736" s="296">
        <v>1</v>
      </c>
      <c r="I1736" s="295">
        <v>151283941</v>
      </c>
      <c r="J1736" s="295" t="s">
        <v>3682</v>
      </c>
      <c r="K1736" s="297" t="s">
        <v>3534</v>
      </c>
    </row>
    <row r="1737" spans="1:11" s="227" customFormat="1" x14ac:dyDescent="0.25">
      <c r="A1737" s="479"/>
      <c r="B1737" s="295" t="s">
        <v>153</v>
      </c>
      <c r="C1737" s="297" t="s">
        <v>1960</v>
      </c>
      <c r="D1737" s="296">
        <v>1</v>
      </c>
      <c r="E1737" s="295">
        <v>197443410</v>
      </c>
      <c r="F1737" s="295" t="s">
        <v>3683</v>
      </c>
      <c r="G1737" s="302" t="s">
        <v>3626</v>
      </c>
      <c r="H1737" s="296">
        <v>1</v>
      </c>
      <c r="I1737" s="295">
        <v>197850742</v>
      </c>
      <c r="J1737" s="295" t="s">
        <v>3684</v>
      </c>
      <c r="K1737" s="297" t="s">
        <v>3664</v>
      </c>
    </row>
    <row r="1738" spans="1:11" s="227" customFormat="1" x14ac:dyDescent="0.25">
      <c r="A1738" s="479"/>
      <c r="B1738" s="295" t="s">
        <v>153</v>
      </c>
      <c r="C1738" s="297" t="s">
        <v>3634</v>
      </c>
      <c r="D1738" s="296">
        <v>1</v>
      </c>
      <c r="E1738" s="295">
        <v>231249391</v>
      </c>
      <c r="F1738" s="295" t="s">
        <v>3635</v>
      </c>
      <c r="G1738" s="302" t="s">
        <v>3626</v>
      </c>
      <c r="H1738" s="296" t="s">
        <v>3750</v>
      </c>
      <c r="I1738" s="295"/>
      <c r="J1738" s="295" t="s">
        <v>3636</v>
      </c>
      <c r="K1738" s="297"/>
    </row>
    <row r="1739" spans="1:11" s="227" customFormat="1" x14ac:dyDescent="0.25">
      <c r="A1739" s="479"/>
      <c r="B1739" s="295" t="s">
        <v>153</v>
      </c>
      <c r="C1739" s="297" t="s">
        <v>1960</v>
      </c>
      <c r="D1739" s="296">
        <v>3</v>
      </c>
      <c r="E1739" s="295">
        <v>29450264</v>
      </c>
      <c r="F1739" s="295" t="s">
        <v>3685</v>
      </c>
      <c r="G1739" s="302" t="s">
        <v>3626</v>
      </c>
      <c r="H1739" s="296">
        <v>3</v>
      </c>
      <c r="I1739" s="295">
        <v>29464616</v>
      </c>
      <c r="J1739" s="295" t="s">
        <v>3685</v>
      </c>
      <c r="K1739" s="297" t="s">
        <v>3686</v>
      </c>
    </row>
    <row r="1740" spans="1:11" s="227" customFormat="1" x14ac:dyDescent="0.25">
      <c r="A1740" s="479"/>
      <c r="B1740" s="295" t="s">
        <v>153</v>
      </c>
      <c r="C1740" s="297" t="s">
        <v>1960</v>
      </c>
      <c r="D1740" s="296">
        <v>4</v>
      </c>
      <c r="E1740" s="295">
        <v>183227531</v>
      </c>
      <c r="F1740" s="295" t="s">
        <v>3687</v>
      </c>
      <c r="G1740" s="302" t="s">
        <v>3626</v>
      </c>
      <c r="H1740" s="296">
        <v>4</v>
      </c>
      <c r="I1740" s="295">
        <v>183493580</v>
      </c>
      <c r="J1740" s="295" t="s">
        <v>3687</v>
      </c>
      <c r="K1740" s="297" t="s">
        <v>3688</v>
      </c>
    </row>
    <row r="1741" spans="1:11" s="227" customFormat="1" x14ac:dyDescent="0.25">
      <c r="A1741" s="479"/>
      <c r="B1741" s="295" t="s">
        <v>153</v>
      </c>
      <c r="C1741" s="297" t="s">
        <v>1960</v>
      </c>
      <c r="D1741" s="296">
        <v>4</v>
      </c>
      <c r="E1741" s="295">
        <v>183561322</v>
      </c>
      <c r="F1741" s="295" t="s">
        <v>3687</v>
      </c>
      <c r="G1741" s="302" t="s">
        <v>3626</v>
      </c>
      <c r="H1741" s="296">
        <v>4</v>
      </c>
      <c r="I1741" s="295">
        <v>183687933</v>
      </c>
      <c r="J1741" s="295" t="s">
        <v>3687</v>
      </c>
      <c r="K1741" s="297" t="s">
        <v>3689</v>
      </c>
    </row>
    <row r="1742" spans="1:11" s="227" customFormat="1" x14ac:dyDescent="0.25">
      <c r="A1742" s="479"/>
      <c r="B1742" s="295" t="s">
        <v>153</v>
      </c>
      <c r="C1742" s="297" t="s">
        <v>3634</v>
      </c>
      <c r="D1742" s="296">
        <v>5</v>
      </c>
      <c r="E1742" s="295">
        <v>139238038</v>
      </c>
      <c r="F1742" s="295" t="s">
        <v>3690</v>
      </c>
      <c r="G1742" s="302" t="s">
        <v>3626</v>
      </c>
      <c r="H1742" s="296" t="s">
        <v>3750</v>
      </c>
      <c r="I1742" s="295"/>
      <c r="J1742" s="295" t="s">
        <v>3636</v>
      </c>
      <c r="K1742" s="297" t="s">
        <v>3691</v>
      </c>
    </row>
    <row r="1743" spans="1:11" s="227" customFormat="1" x14ac:dyDescent="0.25">
      <c r="A1743" s="479"/>
      <c r="B1743" s="295" t="s">
        <v>153</v>
      </c>
      <c r="C1743" s="297" t="s">
        <v>1960</v>
      </c>
      <c r="D1743" s="296">
        <v>7</v>
      </c>
      <c r="E1743" s="295">
        <v>32684359</v>
      </c>
      <c r="F1743" s="295" t="s">
        <v>3692</v>
      </c>
      <c r="G1743" s="302" t="s">
        <v>3626</v>
      </c>
      <c r="H1743" s="296">
        <v>7</v>
      </c>
      <c r="I1743" s="295">
        <v>32830572</v>
      </c>
      <c r="J1743" s="295" t="s">
        <v>3693</v>
      </c>
      <c r="K1743" s="297" t="s">
        <v>3694</v>
      </c>
    </row>
    <row r="1744" spans="1:11" s="227" customFormat="1" x14ac:dyDescent="0.25">
      <c r="A1744" s="479"/>
      <c r="B1744" s="295" t="s">
        <v>153</v>
      </c>
      <c r="C1744" s="304" t="s">
        <v>1954</v>
      </c>
      <c r="D1744" s="296">
        <v>10</v>
      </c>
      <c r="E1744" s="295">
        <v>121186269</v>
      </c>
      <c r="F1744" s="295" t="s">
        <v>3696</v>
      </c>
      <c r="G1744" s="302" t="s">
        <v>3626</v>
      </c>
      <c r="H1744" s="296">
        <v>10</v>
      </c>
      <c r="I1744" s="295">
        <v>121186849</v>
      </c>
      <c r="J1744" s="295" t="s">
        <v>3696</v>
      </c>
      <c r="K1744" s="297" t="s">
        <v>3697</v>
      </c>
    </row>
    <row r="1745" spans="1:11" s="227" customFormat="1" x14ac:dyDescent="0.25">
      <c r="A1745" s="479"/>
      <c r="B1745" s="295" t="s">
        <v>153</v>
      </c>
      <c r="C1745" s="297" t="s">
        <v>1960</v>
      </c>
      <c r="D1745" s="296">
        <v>11</v>
      </c>
      <c r="E1745" s="295">
        <v>41371857</v>
      </c>
      <c r="F1745" s="295" t="s">
        <v>3698</v>
      </c>
      <c r="G1745" s="302" t="s">
        <v>3626</v>
      </c>
      <c r="H1745" s="296">
        <v>11</v>
      </c>
      <c r="I1745" s="295">
        <v>41371938</v>
      </c>
      <c r="J1745" s="295" t="s">
        <v>3698</v>
      </c>
      <c r="K1745" s="297" t="s">
        <v>3699</v>
      </c>
    </row>
    <row r="1746" spans="1:11" s="227" customFormat="1" x14ac:dyDescent="0.25">
      <c r="A1746" s="479"/>
      <c r="B1746" s="295" t="s">
        <v>153</v>
      </c>
      <c r="C1746" s="297" t="s">
        <v>1960</v>
      </c>
      <c r="D1746" s="296">
        <v>11</v>
      </c>
      <c r="E1746" s="295">
        <v>72790271</v>
      </c>
      <c r="F1746" s="295" t="s">
        <v>3700</v>
      </c>
      <c r="G1746" s="302" t="s">
        <v>3626</v>
      </c>
      <c r="H1746" s="296">
        <v>11</v>
      </c>
      <c r="I1746" s="295">
        <v>72790566</v>
      </c>
      <c r="J1746" s="295" t="s">
        <v>3700</v>
      </c>
      <c r="K1746" s="297" t="s">
        <v>3701</v>
      </c>
    </row>
    <row r="1747" spans="1:11" s="227" customFormat="1" x14ac:dyDescent="0.25">
      <c r="A1747" s="479"/>
      <c r="B1747" s="295" t="s">
        <v>153</v>
      </c>
      <c r="C1747" s="297" t="s">
        <v>1975</v>
      </c>
      <c r="D1747" s="296">
        <v>12</v>
      </c>
      <c r="E1747" s="295">
        <v>92651</v>
      </c>
      <c r="F1747" s="295" t="s">
        <v>3702</v>
      </c>
      <c r="G1747" s="302" t="s">
        <v>3626</v>
      </c>
      <c r="H1747" s="296">
        <v>22</v>
      </c>
      <c r="I1747" s="295">
        <v>35017814</v>
      </c>
      <c r="J1747" s="295" t="s">
        <v>3703</v>
      </c>
      <c r="K1747" s="297" t="s">
        <v>3695</v>
      </c>
    </row>
    <row r="1748" spans="1:11" s="227" customFormat="1" x14ac:dyDescent="0.25">
      <c r="A1748" s="479"/>
      <c r="B1748" s="295" t="s">
        <v>153</v>
      </c>
      <c r="C1748" s="297" t="s">
        <v>1960</v>
      </c>
      <c r="D1748" s="296">
        <v>13</v>
      </c>
      <c r="E1748" s="295">
        <v>20312744</v>
      </c>
      <c r="F1748" s="295" t="s">
        <v>3704</v>
      </c>
      <c r="G1748" s="302" t="s">
        <v>3626</v>
      </c>
      <c r="H1748" s="296">
        <v>13</v>
      </c>
      <c r="I1748" s="295">
        <v>20550647</v>
      </c>
      <c r="J1748" s="295" t="s">
        <v>3705</v>
      </c>
      <c r="K1748" s="297" t="s">
        <v>3238</v>
      </c>
    </row>
    <row r="1749" spans="1:11" s="227" customFormat="1" x14ac:dyDescent="0.25">
      <c r="A1749" s="479"/>
      <c r="B1749" s="295" t="s">
        <v>153</v>
      </c>
      <c r="C1749" s="297" t="s">
        <v>1975</v>
      </c>
      <c r="D1749" s="296">
        <v>15</v>
      </c>
      <c r="E1749" s="295">
        <v>20032275</v>
      </c>
      <c r="F1749" s="295" t="s">
        <v>3706</v>
      </c>
      <c r="G1749" s="302" t="s">
        <v>3626</v>
      </c>
      <c r="H1749" s="296">
        <v>15</v>
      </c>
      <c r="I1749" s="295">
        <v>62631821</v>
      </c>
      <c r="J1749" s="295" t="s">
        <v>3707</v>
      </c>
      <c r="K1749" s="297"/>
    </row>
    <row r="1750" spans="1:11" s="227" customFormat="1" x14ac:dyDescent="0.25">
      <c r="A1750" s="479"/>
      <c r="B1750" s="295" t="s">
        <v>153</v>
      </c>
      <c r="C1750" s="297" t="s">
        <v>1975</v>
      </c>
      <c r="D1750" s="296">
        <v>15</v>
      </c>
      <c r="E1750" s="295">
        <v>35136605</v>
      </c>
      <c r="F1750" s="295" t="s">
        <v>3708</v>
      </c>
      <c r="G1750" s="302" t="s">
        <v>3626</v>
      </c>
      <c r="H1750" s="296">
        <v>15</v>
      </c>
      <c r="I1750" s="295">
        <v>79068920</v>
      </c>
      <c r="J1750" s="295" t="s">
        <v>3709</v>
      </c>
      <c r="K1750" s="297" t="s">
        <v>3710</v>
      </c>
    </row>
    <row r="1751" spans="1:11" s="227" customFormat="1" x14ac:dyDescent="0.25">
      <c r="A1751" s="479"/>
      <c r="B1751" s="295" t="s">
        <v>153</v>
      </c>
      <c r="C1751" s="297" t="s">
        <v>1954</v>
      </c>
      <c r="D1751" s="296">
        <v>15</v>
      </c>
      <c r="E1751" s="295">
        <v>35303936</v>
      </c>
      <c r="F1751" s="295" t="s">
        <v>3711</v>
      </c>
      <c r="G1751" s="302" t="s">
        <v>3626</v>
      </c>
      <c r="H1751" s="296">
        <v>15</v>
      </c>
      <c r="I1751" s="295">
        <v>94360335</v>
      </c>
      <c r="J1751" s="295" t="s">
        <v>3712</v>
      </c>
      <c r="K1751" s="297"/>
    </row>
    <row r="1752" spans="1:11" s="227" customFormat="1" x14ac:dyDescent="0.25">
      <c r="A1752" s="479"/>
      <c r="B1752" s="295" t="s">
        <v>153</v>
      </c>
      <c r="C1752" s="297" t="s">
        <v>1975</v>
      </c>
      <c r="D1752" s="296">
        <v>15</v>
      </c>
      <c r="E1752" s="295">
        <v>36955840</v>
      </c>
      <c r="F1752" s="295" t="s">
        <v>3713</v>
      </c>
      <c r="G1752" s="302" t="s">
        <v>3626</v>
      </c>
      <c r="H1752" s="296">
        <v>15</v>
      </c>
      <c r="I1752" s="295">
        <v>98492912</v>
      </c>
      <c r="J1752" s="295" t="s">
        <v>3714</v>
      </c>
      <c r="K1752" s="297" t="s">
        <v>3670</v>
      </c>
    </row>
    <row r="1753" spans="1:11" s="227" customFormat="1" x14ac:dyDescent="0.25">
      <c r="A1753" s="479"/>
      <c r="B1753" s="295" t="s">
        <v>153</v>
      </c>
      <c r="C1753" s="297" t="s">
        <v>3634</v>
      </c>
      <c r="D1753" s="296">
        <v>15</v>
      </c>
      <c r="E1753" s="295">
        <v>37049638</v>
      </c>
      <c r="F1753" s="295" t="s">
        <v>3713</v>
      </c>
      <c r="G1753" s="302" t="s">
        <v>3626</v>
      </c>
      <c r="H1753" s="296" t="s">
        <v>3750</v>
      </c>
      <c r="I1753" s="295"/>
      <c r="J1753" s="295"/>
      <c r="K1753" s="297"/>
    </row>
    <row r="1754" spans="1:11" s="227" customFormat="1" x14ac:dyDescent="0.25">
      <c r="A1754" s="479"/>
      <c r="B1754" s="295" t="s">
        <v>153</v>
      </c>
      <c r="C1754" s="297" t="s">
        <v>1975</v>
      </c>
      <c r="D1754" s="305">
        <v>15</v>
      </c>
      <c r="E1754" s="306">
        <v>62631402</v>
      </c>
      <c r="F1754" s="306" t="s">
        <v>3707</v>
      </c>
      <c r="G1754" s="302" t="s">
        <v>3626</v>
      </c>
      <c r="H1754" s="296">
        <v>15</v>
      </c>
      <c r="I1754" s="295">
        <v>89491473</v>
      </c>
      <c r="J1754" s="295" t="s">
        <v>3715</v>
      </c>
      <c r="K1754" s="297"/>
    </row>
    <row r="1755" spans="1:11" s="227" customFormat="1" x14ac:dyDescent="0.25">
      <c r="A1755" s="479"/>
      <c r="B1755" s="295" t="s">
        <v>153</v>
      </c>
      <c r="C1755" s="297" t="s">
        <v>1975</v>
      </c>
      <c r="D1755" s="305">
        <v>15</v>
      </c>
      <c r="E1755" s="306">
        <v>62631574</v>
      </c>
      <c r="F1755" s="306" t="s">
        <v>3707</v>
      </c>
      <c r="G1755" s="302" t="s">
        <v>3626</v>
      </c>
      <c r="H1755" s="296">
        <v>15</v>
      </c>
      <c r="I1755" s="295">
        <v>87359078</v>
      </c>
      <c r="J1755" s="295" t="s">
        <v>3716</v>
      </c>
      <c r="K1755" s="297" t="s">
        <v>3717</v>
      </c>
    </row>
    <row r="1756" spans="1:11" s="227" customFormat="1" x14ac:dyDescent="0.25">
      <c r="A1756" s="479"/>
      <c r="B1756" s="295" t="s">
        <v>153</v>
      </c>
      <c r="C1756" s="297" t="s">
        <v>1960</v>
      </c>
      <c r="D1756" s="305">
        <v>15</v>
      </c>
      <c r="E1756" s="306">
        <v>64116460</v>
      </c>
      <c r="F1756" s="306" t="s">
        <v>3718</v>
      </c>
      <c r="G1756" s="302" t="s">
        <v>3626</v>
      </c>
      <c r="H1756" s="296">
        <v>15</v>
      </c>
      <c r="I1756" s="295">
        <v>75806704</v>
      </c>
      <c r="J1756" s="295" t="s">
        <v>3719</v>
      </c>
      <c r="K1756" s="297" t="s">
        <v>3720</v>
      </c>
    </row>
    <row r="1757" spans="1:11" s="227" customFormat="1" x14ac:dyDescent="0.25">
      <c r="A1757" s="479"/>
      <c r="B1757" s="295" t="s">
        <v>153</v>
      </c>
      <c r="C1757" s="297" t="s">
        <v>1954</v>
      </c>
      <c r="D1757" s="296">
        <v>15</v>
      </c>
      <c r="E1757" s="295">
        <v>68160047</v>
      </c>
      <c r="F1757" s="295" t="s">
        <v>3722</v>
      </c>
      <c r="G1757" s="302" t="s">
        <v>3626</v>
      </c>
      <c r="H1757" s="296">
        <v>15</v>
      </c>
      <c r="I1757" s="295">
        <v>80701555</v>
      </c>
      <c r="J1757" s="295" t="s">
        <v>3723</v>
      </c>
      <c r="K1757" s="297" t="s">
        <v>3724</v>
      </c>
    </row>
    <row r="1758" spans="1:11" s="227" customFormat="1" x14ac:dyDescent="0.25">
      <c r="A1758" s="479"/>
      <c r="B1758" s="295" t="s">
        <v>153</v>
      </c>
      <c r="C1758" s="297" t="s">
        <v>1975</v>
      </c>
      <c r="D1758" s="296">
        <v>15</v>
      </c>
      <c r="E1758" s="295">
        <v>68921475</v>
      </c>
      <c r="F1758" s="295" t="s">
        <v>3725</v>
      </c>
      <c r="G1758" s="302" t="s">
        <v>3626</v>
      </c>
      <c r="H1758" s="296">
        <v>15</v>
      </c>
      <c r="I1758" s="295">
        <v>89337963</v>
      </c>
      <c r="J1758" s="295" t="s">
        <v>3726</v>
      </c>
      <c r="K1758" s="297"/>
    </row>
    <row r="1759" spans="1:11" s="227" customFormat="1" x14ac:dyDescent="0.25">
      <c r="A1759" s="479"/>
      <c r="B1759" s="295" t="s">
        <v>153</v>
      </c>
      <c r="C1759" s="297" t="s">
        <v>1975</v>
      </c>
      <c r="D1759" s="296">
        <v>15</v>
      </c>
      <c r="E1759" s="295">
        <v>72028868</v>
      </c>
      <c r="F1759" s="295" t="s">
        <v>3727</v>
      </c>
      <c r="G1759" s="302" t="s">
        <v>3626</v>
      </c>
      <c r="H1759" s="296">
        <v>15</v>
      </c>
      <c r="I1759" s="295">
        <v>102366735</v>
      </c>
      <c r="J1759" s="295" t="s">
        <v>3728</v>
      </c>
      <c r="K1759" s="297"/>
    </row>
    <row r="1760" spans="1:11" s="227" customFormat="1" x14ac:dyDescent="0.25">
      <c r="A1760" s="479"/>
      <c r="B1760" s="295" t="s">
        <v>153</v>
      </c>
      <c r="C1760" s="297" t="s">
        <v>1954</v>
      </c>
      <c r="D1760" s="296">
        <v>15</v>
      </c>
      <c r="E1760" s="295">
        <v>78055438</v>
      </c>
      <c r="F1760" s="295" t="s">
        <v>3729</v>
      </c>
      <c r="G1760" s="302" t="s">
        <v>3626</v>
      </c>
      <c r="H1760" s="296">
        <v>15</v>
      </c>
      <c r="I1760" s="295">
        <v>100536367</v>
      </c>
      <c r="J1760" s="295" t="s">
        <v>3730</v>
      </c>
      <c r="K1760" s="297" t="s">
        <v>3731</v>
      </c>
    </row>
    <row r="1761" spans="1:11" s="227" customFormat="1" x14ac:dyDescent="0.25">
      <c r="A1761" s="479"/>
      <c r="B1761" s="295" t="s">
        <v>153</v>
      </c>
      <c r="C1761" s="297" t="s">
        <v>1954</v>
      </c>
      <c r="D1761" s="296">
        <v>15</v>
      </c>
      <c r="E1761" s="295">
        <v>79496122</v>
      </c>
      <c r="F1761" s="295" t="s">
        <v>3732</v>
      </c>
      <c r="G1761" s="302" t="s">
        <v>3626</v>
      </c>
      <c r="H1761" s="296">
        <v>15</v>
      </c>
      <c r="I1761" s="295">
        <v>91003308</v>
      </c>
      <c r="J1761" s="295" t="s">
        <v>3733</v>
      </c>
      <c r="K1761" s="297" t="s">
        <v>3734</v>
      </c>
    </row>
    <row r="1762" spans="1:11" s="227" customFormat="1" x14ac:dyDescent="0.25">
      <c r="A1762" s="479"/>
      <c r="B1762" s="295" t="s">
        <v>153</v>
      </c>
      <c r="C1762" s="297" t="s">
        <v>1975</v>
      </c>
      <c r="D1762" s="296">
        <v>15</v>
      </c>
      <c r="E1762" s="295">
        <v>92879990</v>
      </c>
      <c r="F1762" s="295" t="s">
        <v>3736</v>
      </c>
      <c r="G1762" s="302" t="s">
        <v>3626</v>
      </c>
      <c r="H1762" s="296">
        <v>15</v>
      </c>
      <c r="I1762" s="295">
        <v>97731948</v>
      </c>
      <c r="J1762" s="295" t="s">
        <v>3737</v>
      </c>
      <c r="K1762" s="297"/>
    </row>
    <row r="1763" spans="1:11" s="227" customFormat="1" x14ac:dyDescent="0.25">
      <c r="A1763" s="479"/>
      <c r="B1763" s="295" t="s">
        <v>153</v>
      </c>
      <c r="C1763" s="297" t="s">
        <v>1975</v>
      </c>
      <c r="D1763" s="296">
        <v>15</v>
      </c>
      <c r="E1763" s="295">
        <v>99162001</v>
      </c>
      <c r="F1763" s="295" t="s">
        <v>3738</v>
      </c>
      <c r="G1763" s="302" t="s">
        <v>3626</v>
      </c>
      <c r="H1763" s="296">
        <v>15</v>
      </c>
      <c r="I1763" s="295">
        <v>101375515</v>
      </c>
      <c r="J1763" s="295" t="s">
        <v>3739</v>
      </c>
      <c r="K1763" s="297" t="s">
        <v>3735</v>
      </c>
    </row>
    <row r="1764" spans="1:11" s="227" customFormat="1" x14ac:dyDescent="0.25">
      <c r="A1764" s="479"/>
      <c r="B1764" s="295" t="s">
        <v>153</v>
      </c>
      <c r="C1764" s="297" t="s">
        <v>1954</v>
      </c>
      <c r="D1764" s="296">
        <v>16</v>
      </c>
      <c r="E1764" s="295">
        <v>29638812</v>
      </c>
      <c r="F1764" s="295" t="s">
        <v>3740</v>
      </c>
      <c r="G1764" s="302" t="s">
        <v>3626</v>
      </c>
      <c r="H1764" s="296">
        <v>16</v>
      </c>
      <c r="I1764" s="295">
        <v>29920422</v>
      </c>
      <c r="J1764" s="295" t="s">
        <v>3741</v>
      </c>
      <c r="K1764" s="297" t="s">
        <v>3742</v>
      </c>
    </row>
    <row r="1765" spans="1:11" s="227" customFormat="1" x14ac:dyDescent="0.25">
      <c r="A1765" s="479"/>
      <c r="B1765" s="295" t="s">
        <v>153</v>
      </c>
      <c r="C1765" s="297" t="s">
        <v>1954</v>
      </c>
      <c r="D1765" s="296">
        <v>17</v>
      </c>
      <c r="E1765" s="295">
        <v>37246351</v>
      </c>
      <c r="F1765" s="295" t="s">
        <v>3743</v>
      </c>
      <c r="G1765" s="302" t="s">
        <v>3626</v>
      </c>
      <c r="H1765" s="296">
        <v>17</v>
      </c>
      <c r="I1765" s="295">
        <v>37246844</v>
      </c>
      <c r="J1765" s="295" t="s">
        <v>3744</v>
      </c>
      <c r="K1765" s="297" t="s">
        <v>3721</v>
      </c>
    </row>
    <row r="1766" spans="1:11" s="227" customFormat="1" x14ac:dyDescent="0.25">
      <c r="A1766" s="479"/>
      <c r="B1766" s="295" t="s">
        <v>153</v>
      </c>
      <c r="C1766" s="297" t="s">
        <v>1954</v>
      </c>
      <c r="D1766" s="296">
        <v>17</v>
      </c>
      <c r="E1766" s="295">
        <v>42184507</v>
      </c>
      <c r="F1766" s="295" t="s">
        <v>3745</v>
      </c>
      <c r="G1766" s="302" t="s">
        <v>3626</v>
      </c>
      <c r="H1766" s="296">
        <v>17</v>
      </c>
      <c r="I1766" s="295">
        <v>42184875</v>
      </c>
      <c r="J1766" s="295" t="s">
        <v>3745</v>
      </c>
      <c r="K1766" s="297" t="s">
        <v>3746</v>
      </c>
    </row>
    <row r="1767" spans="1:11" s="227" customFormat="1" x14ac:dyDescent="0.25">
      <c r="A1767" s="479"/>
      <c r="B1767" s="295" t="s">
        <v>153</v>
      </c>
      <c r="C1767" s="297" t="s">
        <v>1960</v>
      </c>
      <c r="D1767" s="296">
        <v>19</v>
      </c>
      <c r="E1767" s="295">
        <v>56275957</v>
      </c>
      <c r="F1767" s="295" t="s">
        <v>3747</v>
      </c>
      <c r="G1767" s="302" t="s">
        <v>3626</v>
      </c>
      <c r="H1767" s="296">
        <v>19</v>
      </c>
      <c r="I1767" s="295">
        <v>56285951</v>
      </c>
      <c r="J1767" s="295" t="s">
        <v>3748</v>
      </c>
      <c r="K1767" s="297"/>
    </row>
    <row r="1768" spans="1:11" ht="61.5" customHeight="1" x14ac:dyDescent="0.25">
      <c r="A1768" s="467" t="s">
        <v>3263</v>
      </c>
      <c r="B1768" s="467"/>
      <c r="C1768" s="467"/>
      <c r="D1768" s="467"/>
      <c r="E1768" s="467"/>
      <c r="F1768" s="467"/>
      <c r="G1768" s="467"/>
      <c r="H1768" s="467"/>
      <c r="I1768" s="467"/>
      <c r="J1768" s="467"/>
      <c r="K1768" s="467"/>
    </row>
  </sheetData>
  <mergeCells count="9">
    <mergeCell ref="A1:I1"/>
    <mergeCell ref="A1768:K1768"/>
    <mergeCell ref="A1670:A1706"/>
    <mergeCell ref="A3:A82"/>
    <mergeCell ref="A83:A134"/>
    <mergeCell ref="A135:A218"/>
    <mergeCell ref="A219:A269"/>
    <mergeCell ref="A270:A1669"/>
    <mergeCell ref="A1707:A176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zoomScale="115" zoomScaleNormal="115" workbookViewId="0">
      <selection activeCell="E33" sqref="E33"/>
    </sheetView>
  </sheetViews>
  <sheetFormatPr defaultColWidth="9.140625" defaultRowHeight="15" x14ac:dyDescent="0.25"/>
  <cols>
    <col min="1" max="1" width="9.140625" style="288"/>
    <col min="2" max="2" width="52" style="288" bestFit="1" customWidth="1"/>
    <col min="3" max="3" width="9.140625" style="288"/>
    <col min="4" max="4" width="23.85546875" style="288" bestFit="1" customWidth="1"/>
    <col min="5" max="5" width="22.7109375" style="288" bestFit="1" customWidth="1"/>
    <col min="6" max="7" width="20.85546875" style="288" bestFit="1" customWidth="1"/>
    <col min="8" max="8" width="149.42578125" style="288" bestFit="1" customWidth="1"/>
    <col min="9" max="16384" width="9.140625" style="288"/>
  </cols>
  <sheetData>
    <row r="1" spans="1:8" s="336" customFormat="1" x14ac:dyDescent="0.25">
      <c r="A1" s="483" t="s">
        <v>4144</v>
      </c>
      <c r="B1" s="483"/>
      <c r="C1" s="483"/>
      <c r="D1" s="483"/>
      <c r="E1" s="483"/>
      <c r="F1" s="483"/>
      <c r="G1" s="483"/>
      <c r="H1" s="483"/>
    </row>
    <row r="2" spans="1:8" s="333" customFormat="1" x14ac:dyDescent="0.25">
      <c r="B2" s="333" t="s">
        <v>3751</v>
      </c>
      <c r="C2" s="334" t="s">
        <v>3752</v>
      </c>
      <c r="D2" s="333" t="s">
        <v>3753</v>
      </c>
      <c r="E2" s="333" t="s">
        <v>2742</v>
      </c>
      <c r="F2" s="333" t="s">
        <v>3754</v>
      </c>
      <c r="G2" s="333" t="s">
        <v>3755</v>
      </c>
      <c r="H2" s="333" t="s">
        <v>3756</v>
      </c>
    </row>
    <row r="3" spans="1:8" ht="15" customHeight="1" x14ac:dyDescent="0.25">
      <c r="A3" s="481" t="s">
        <v>4113</v>
      </c>
      <c r="B3" s="288" t="s">
        <v>3877</v>
      </c>
      <c r="C3" s="330" t="s">
        <v>3878</v>
      </c>
      <c r="D3" s="288" t="s">
        <v>3879</v>
      </c>
      <c r="E3" s="288" t="s">
        <v>3880</v>
      </c>
      <c r="F3" s="288" t="s">
        <v>3881</v>
      </c>
      <c r="G3" s="288" t="s">
        <v>3882</v>
      </c>
      <c r="H3" s="288" t="s">
        <v>3883</v>
      </c>
    </row>
    <row r="4" spans="1:8" x14ac:dyDescent="0.25">
      <c r="A4" s="481"/>
      <c r="B4" s="288" t="s">
        <v>3783</v>
      </c>
      <c r="C4" s="330" t="s">
        <v>3884</v>
      </c>
      <c r="D4" s="288" t="s">
        <v>3885</v>
      </c>
      <c r="E4" s="288" t="s">
        <v>3886</v>
      </c>
      <c r="F4" s="288" t="s">
        <v>3887</v>
      </c>
      <c r="G4" s="288" t="s">
        <v>3888</v>
      </c>
      <c r="H4" s="288" t="s">
        <v>3889</v>
      </c>
    </row>
    <row r="5" spans="1:8" x14ac:dyDescent="0.25">
      <c r="A5" s="481"/>
      <c r="B5" s="288" t="s">
        <v>3771</v>
      </c>
      <c r="C5" s="330" t="s">
        <v>3890</v>
      </c>
      <c r="D5" s="288" t="s">
        <v>3891</v>
      </c>
      <c r="E5" s="288" t="s">
        <v>3892</v>
      </c>
      <c r="F5" s="288" t="s">
        <v>3893</v>
      </c>
      <c r="G5" s="288" t="s">
        <v>3894</v>
      </c>
      <c r="H5" s="288" t="s">
        <v>3895</v>
      </c>
    </row>
    <row r="6" spans="1:8" x14ac:dyDescent="0.25">
      <c r="A6" s="481"/>
      <c r="B6" s="288" t="s">
        <v>3757</v>
      </c>
      <c r="C6" s="330" t="s">
        <v>3896</v>
      </c>
      <c r="D6" s="288" t="s">
        <v>3897</v>
      </c>
      <c r="E6" s="288" t="s">
        <v>3898</v>
      </c>
      <c r="F6" s="288" t="s">
        <v>3899</v>
      </c>
      <c r="G6" s="288" t="s">
        <v>3900</v>
      </c>
      <c r="H6" s="288" t="s">
        <v>3901</v>
      </c>
    </row>
    <row r="7" spans="1:8" x14ac:dyDescent="0.25">
      <c r="A7" s="481"/>
      <c r="B7" s="288" t="s">
        <v>3902</v>
      </c>
      <c r="C7" s="330" t="s">
        <v>3903</v>
      </c>
      <c r="D7" s="288" t="s">
        <v>3904</v>
      </c>
      <c r="E7" s="288" t="s">
        <v>3905</v>
      </c>
      <c r="F7" s="288" t="s">
        <v>3906</v>
      </c>
      <c r="G7" s="288" t="s">
        <v>3907</v>
      </c>
      <c r="H7" s="288" t="s">
        <v>2757</v>
      </c>
    </row>
    <row r="8" spans="1:8" x14ac:dyDescent="0.25">
      <c r="A8" s="481"/>
      <c r="B8" s="288" t="s">
        <v>3841</v>
      </c>
      <c r="C8" s="330" t="s">
        <v>3908</v>
      </c>
      <c r="D8" s="288" t="s">
        <v>3909</v>
      </c>
      <c r="E8" s="288" t="s">
        <v>3910</v>
      </c>
      <c r="F8" s="288" t="s">
        <v>3911</v>
      </c>
      <c r="G8" s="288" t="s">
        <v>3912</v>
      </c>
      <c r="H8" s="288" t="s">
        <v>3913</v>
      </c>
    </row>
    <row r="9" spans="1:8" x14ac:dyDescent="0.25">
      <c r="A9" s="481"/>
      <c r="B9" s="288" t="s">
        <v>3914</v>
      </c>
      <c r="C9" s="330" t="s">
        <v>3915</v>
      </c>
      <c r="D9" s="288" t="s">
        <v>3916</v>
      </c>
      <c r="E9" s="288" t="s">
        <v>3917</v>
      </c>
      <c r="F9" s="288" t="s">
        <v>3918</v>
      </c>
      <c r="G9" s="288" t="s">
        <v>3919</v>
      </c>
      <c r="H9" s="288" t="s">
        <v>3920</v>
      </c>
    </row>
    <row r="10" spans="1:8" x14ac:dyDescent="0.25">
      <c r="A10" s="481"/>
      <c r="B10" s="288" t="s">
        <v>3921</v>
      </c>
      <c r="C10" s="330" t="s">
        <v>3922</v>
      </c>
      <c r="D10" s="288" t="s">
        <v>3923</v>
      </c>
      <c r="E10" s="288" t="s">
        <v>3924</v>
      </c>
      <c r="F10" s="288" t="s">
        <v>3925</v>
      </c>
      <c r="G10" s="288" t="s">
        <v>3926</v>
      </c>
      <c r="H10" s="288" t="s">
        <v>3927</v>
      </c>
    </row>
    <row r="11" spans="1:8" x14ac:dyDescent="0.25">
      <c r="A11" s="481"/>
      <c r="B11" s="288" t="s">
        <v>3928</v>
      </c>
      <c r="C11" s="330" t="s">
        <v>3929</v>
      </c>
      <c r="D11" s="288" t="s">
        <v>3930</v>
      </c>
      <c r="E11" s="288" t="s">
        <v>3931</v>
      </c>
      <c r="F11" s="288" t="s">
        <v>3932</v>
      </c>
      <c r="G11" s="288" t="s">
        <v>3933</v>
      </c>
      <c r="H11" s="288" t="s">
        <v>3934</v>
      </c>
    </row>
    <row r="12" spans="1:8" x14ac:dyDescent="0.25">
      <c r="A12" s="481"/>
      <c r="B12" s="288" t="s">
        <v>3935</v>
      </c>
      <c r="C12" s="330" t="s">
        <v>2758</v>
      </c>
      <c r="D12" s="288" t="s">
        <v>3936</v>
      </c>
      <c r="E12" s="288" t="s">
        <v>3937</v>
      </c>
      <c r="F12" s="288" t="s">
        <v>3938</v>
      </c>
      <c r="G12" s="288" t="s">
        <v>3939</v>
      </c>
      <c r="H12" s="288" t="s">
        <v>3940</v>
      </c>
    </row>
    <row r="13" spans="1:8" x14ac:dyDescent="0.25">
      <c r="A13" s="481"/>
      <c r="B13" s="288" t="s">
        <v>3941</v>
      </c>
      <c r="C13" s="330" t="s">
        <v>3942</v>
      </c>
      <c r="D13" s="288" t="s">
        <v>3943</v>
      </c>
      <c r="E13" s="288" t="s">
        <v>3944</v>
      </c>
      <c r="F13" s="288" t="s">
        <v>3945</v>
      </c>
      <c r="G13" s="288" t="s">
        <v>3946</v>
      </c>
      <c r="H13" s="288" t="s">
        <v>3947</v>
      </c>
    </row>
    <row r="14" spans="1:8" x14ac:dyDescent="0.25">
      <c r="A14" s="481"/>
      <c r="B14" s="288" t="s">
        <v>3853</v>
      </c>
      <c r="C14" s="330" t="s">
        <v>3854</v>
      </c>
      <c r="D14" s="288" t="s">
        <v>3948</v>
      </c>
      <c r="E14" s="288" t="s">
        <v>3949</v>
      </c>
      <c r="F14" s="288" t="s">
        <v>3950</v>
      </c>
      <c r="G14" s="288" t="s">
        <v>3951</v>
      </c>
      <c r="H14" s="288" t="s">
        <v>3952</v>
      </c>
    </row>
    <row r="15" spans="1:8" x14ac:dyDescent="0.25">
      <c r="A15" s="481"/>
      <c r="B15" s="288" t="s">
        <v>3953</v>
      </c>
      <c r="C15" s="330" t="s">
        <v>3954</v>
      </c>
      <c r="D15" s="288" t="s">
        <v>3955</v>
      </c>
      <c r="E15" s="288" t="s">
        <v>3956</v>
      </c>
      <c r="F15" s="288" t="s">
        <v>3957</v>
      </c>
      <c r="G15" s="288" t="s">
        <v>3958</v>
      </c>
      <c r="H15" s="288" t="s">
        <v>3959</v>
      </c>
    </row>
    <row r="16" spans="1:8" x14ac:dyDescent="0.25">
      <c r="A16" s="481"/>
      <c r="B16" s="288" t="s">
        <v>3960</v>
      </c>
      <c r="C16" s="330" t="s">
        <v>3961</v>
      </c>
      <c r="D16" s="288" t="s">
        <v>3962</v>
      </c>
      <c r="E16" s="288" t="s">
        <v>3963</v>
      </c>
      <c r="F16" s="288" t="s">
        <v>3964</v>
      </c>
      <c r="G16" s="288" t="s">
        <v>3965</v>
      </c>
      <c r="H16" s="288" t="s">
        <v>3966</v>
      </c>
    </row>
    <row r="17" spans="1:8" x14ac:dyDescent="0.25">
      <c r="A17" s="481"/>
      <c r="B17" s="288" t="s">
        <v>3778</v>
      </c>
      <c r="C17" s="330" t="s">
        <v>2762</v>
      </c>
      <c r="D17" s="288" t="s">
        <v>3967</v>
      </c>
      <c r="E17" s="288" t="s">
        <v>3968</v>
      </c>
      <c r="F17" s="288" t="s">
        <v>3969</v>
      </c>
      <c r="G17" s="288" t="s">
        <v>3970</v>
      </c>
      <c r="H17" s="288" t="s">
        <v>2763</v>
      </c>
    </row>
    <row r="18" spans="1:8" x14ac:dyDescent="0.25">
      <c r="A18" s="481"/>
      <c r="B18" s="288" t="s">
        <v>3971</v>
      </c>
      <c r="C18" s="330" t="s">
        <v>3972</v>
      </c>
      <c r="D18" s="288" t="s">
        <v>3973</v>
      </c>
      <c r="E18" s="288" t="s">
        <v>3974</v>
      </c>
      <c r="F18" s="288" t="s">
        <v>3975</v>
      </c>
      <c r="G18" s="288" t="s">
        <v>3976</v>
      </c>
      <c r="H18" s="288" t="s">
        <v>3977</v>
      </c>
    </row>
    <row r="19" spans="1:8" x14ac:dyDescent="0.25">
      <c r="A19" s="481"/>
      <c r="B19" s="288" t="s">
        <v>3978</v>
      </c>
      <c r="C19" s="330" t="s">
        <v>3979</v>
      </c>
      <c r="D19" s="288" t="s">
        <v>3980</v>
      </c>
      <c r="E19" s="288" t="s">
        <v>3981</v>
      </c>
      <c r="F19" s="288" t="s">
        <v>3982</v>
      </c>
      <c r="G19" s="288" t="s">
        <v>3983</v>
      </c>
      <c r="H19" s="288" t="s">
        <v>2759</v>
      </c>
    </row>
    <row r="20" spans="1:8" x14ac:dyDescent="0.25">
      <c r="A20" s="481"/>
      <c r="B20" s="288" t="s">
        <v>3809</v>
      </c>
      <c r="C20" s="330" t="s">
        <v>3984</v>
      </c>
      <c r="D20" s="288" t="s">
        <v>3985</v>
      </c>
      <c r="E20" s="288" t="s">
        <v>3986</v>
      </c>
      <c r="F20" s="288" t="s">
        <v>3987</v>
      </c>
      <c r="G20" s="288" t="s">
        <v>3988</v>
      </c>
      <c r="H20" s="288" t="s">
        <v>2761</v>
      </c>
    </row>
    <row r="21" spans="1:8" x14ac:dyDescent="0.25">
      <c r="A21" s="481"/>
      <c r="B21" s="288" t="s">
        <v>3989</v>
      </c>
      <c r="C21" s="330" t="s">
        <v>3990</v>
      </c>
      <c r="D21" s="288" t="s">
        <v>3991</v>
      </c>
      <c r="E21" s="288" t="s">
        <v>3992</v>
      </c>
      <c r="F21" s="288" t="s">
        <v>3993</v>
      </c>
      <c r="G21" s="288" t="s">
        <v>3994</v>
      </c>
      <c r="H21" s="288" t="s">
        <v>3995</v>
      </c>
    </row>
    <row r="22" spans="1:8" s="331" customFormat="1" ht="15.75" thickBot="1" x14ac:dyDescent="0.3">
      <c r="A22" s="482"/>
      <c r="B22" s="331" t="s">
        <v>3818</v>
      </c>
      <c r="C22" s="332" t="s">
        <v>3996</v>
      </c>
      <c r="D22" s="331" t="s">
        <v>3997</v>
      </c>
      <c r="E22" s="331" t="s">
        <v>3998</v>
      </c>
      <c r="F22" s="331" t="s">
        <v>3999</v>
      </c>
      <c r="G22" s="331" t="s">
        <v>4000</v>
      </c>
      <c r="H22" s="331" t="s">
        <v>2760</v>
      </c>
    </row>
    <row r="23" spans="1:8" x14ac:dyDescent="0.25">
      <c r="A23" s="480" t="s">
        <v>4111</v>
      </c>
      <c r="B23" s="288" t="s">
        <v>3757</v>
      </c>
      <c r="C23" s="330" t="s">
        <v>3758</v>
      </c>
      <c r="D23" s="288" t="s">
        <v>3759</v>
      </c>
      <c r="E23" s="288" t="s">
        <v>3760</v>
      </c>
      <c r="F23" s="288" t="s">
        <v>3761</v>
      </c>
      <c r="G23" s="288" t="s">
        <v>3762</v>
      </c>
      <c r="H23" s="288" t="s">
        <v>3763</v>
      </c>
    </row>
    <row r="24" spans="1:8" x14ac:dyDescent="0.25">
      <c r="A24" s="481"/>
      <c r="B24" s="288" t="s">
        <v>3764</v>
      </c>
      <c r="C24" s="330" t="s">
        <v>3765</v>
      </c>
      <c r="D24" s="288" t="s">
        <v>3766</v>
      </c>
      <c r="E24" s="288" t="s">
        <v>3767</v>
      </c>
      <c r="F24" s="288" t="s">
        <v>3768</v>
      </c>
      <c r="G24" s="288" t="s">
        <v>3769</v>
      </c>
      <c r="H24" s="288" t="s">
        <v>3770</v>
      </c>
    </row>
    <row r="25" spans="1:8" x14ac:dyDescent="0.25">
      <c r="A25" s="481"/>
      <c r="B25" s="288" t="s">
        <v>3771</v>
      </c>
      <c r="C25" s="330" t="s">
        <v>3772</v>
      </c>
      <c r="D25" s="288" t="s">
        <v>3773</v>
      </c>
      <c r="E25" s="288" t="s">
        <v>3774</v>
      </c>
      <c r="F25" s="288" t="s">
        <v>3775</v>
      </c>
      <c r="G25" s="288" t="s">
        <v>3776</v>
      </c>
      <c r="H25" s="288" t="s">
        <v>3777</v>
      </c>
    </row>
    <row r="26" spans="1:8" x14ac:dyDescent="0.25">
      <c r="A26" s="481"/>
      <c r="B26" s="288" t="s">
        <v>3778</v>
      </c>
      <c r="C26" s="330" t="s">
        <v>2743</v>
      </c>
      <c r="D26" s="288" t="s">
        <v>3779</v>
      </c>
      <c r="E26" s="288" t="s">
        <v>3780</v>
      </c>
      <c r="F26" s="288" t="s">
        <v>3781</v>
      </c>
      <c r="G26" s="288" t="s">
        <v>3782</v>
      </c>
      <c r="H26" s="288" t="s">
        <v>2744</v>
      </c>
    </row>
    <row r="27" spans="1:8" x14ac:dyDescent="0.25">
      <c r="A27" s="481"/>
      <c r="B27" s="288" t="s">
        <v>3783</v>
      </c>
      <c r="C27" s="330" t="s">
        <v>3784</v>
      </c>
      <c r="D27" s="288" t="s">
        <v>3785</v>
      </c>
      <c r="E27" s="288" t="s">
        <v>3786</v>
      </c>
      <c r="F27" s="288" t="s">
        <v>3787</v>
      </c>
      <c r="G27" s="288" t="s">
        <v>3788</v>
      </c>
      <c r="H27" s="288" t="s">
        <v>3789</v>
      </c>
    </row>
    <row r="28" spans="1:8" x14ac:dyDescent="0.25">
      <c r="A28" s="481"/>
      <c r="B28" s="288" t="s">
        <v>3790</v>
      </c>
      <c r="C28" s="330" t="s">
        <v>3791</v>
      </c>
      <c r="D28" s="288" t="s">
        <v>3792</v>
      </c>
      <c r="E28" s="288" t="s">
        <v>3793</v>
      </c>
      <c r="F28" s="288" t="s">
        <v>3794</v>
      </c>
      <c r="G28" s="288" t="s">
        <v>3795</v>
      </c>
      <c r="H28" s="288" t="s">
        <v>3796</v>
      </c>
    </row>
    <row r="29" spans="1:8" x14ac:dyDescent="0.25">
      <c r="A29" s="481"/>
      <c r="B29" s="288" t="s">
        <v>3797</v>
      </c>
      <c r="C29" s="330" t="s">
        <v>2745</v>
      </c>
      <c r="D29" s="288" t="s">
        <v>3798</v>
      </c>
      <c r="E29" s="288" t="s">
        <v>3799</v>
      </c>
      <c r="F29" s="288" t="s">
        <v>3800</v>
      </c>
      <c r="G29" s="288" t="s">
        <v>3801</v>
      </c>
      <c r="H29" s="288" t="s">
        <v>3802</v>
      </c>
    </row>
    <row r="30" spans="1:8" x14ac:dyDescent="0.25">
      <c r="A30" s="481"/>
      <c r="B30" s="288" t="s">
        <v>3803</v>
      </c>
      <c r="C30" s="330" t="s">
        <v>3804</v>
      </c>
      <c r="D30" s="288" t="s">
        <v>3805</v>
      </c>
      <c r="E30" s="288" t="s">
        <v>3806</v>
      </c>
      <c r="F30" s="288" t="s">
        <v>3807</v>
      </c>
      <c r="G30" s="288" t="s">
        <v>3808</v>
      </c>
      <c r="H30" s="288" t="s">
        <v>2747</v>
      </c>
    </row>
    <row r="31" spans="1:8" x14ac:dyDescent="0.25">
      <c r="A31" s="481"/>
      <c r="B31" s="288" t="s">
        <v>3809</v>
      </c>
      <c r="C31" s="330" t="s">
        <v>3804</v>
      </c>
      <c r="D31" s="288" t="s">
        <v>3805</v>
      </c>
      <c r="E31" s="288" t="s">
        <v>3810</v>
      </c>
      <c r="F31" s="288" t="s">
        <v>3807</v>
      </c>
      <c r="G31" s="288" t="s">
        <v>3808</v>
      </c>
      <c r="H31" s="288" t="s">
        <v>3811</v>
      </c>
    </row>
    <row r="32" spans="1:8" x14ac:dyDescent="0.25">
      <c r="A32" s="481"/>
      <c r="B32" s="288" t="s">
        <v>3812</v>
      </c>
      <c r="C32" s="330" t="s">
        <v>3813</v>
      </c>
      <c r="D32" s="288" t="s">
        <v>3814</v>
      </c>
      <c r="E32" s="288" t="s">
        <v>3815</v>
      </c>
      <c r="F32" s="288" t="s">
        <v>3816</v>
      </c>
      <c r="G32" s="288" t="s">
        <v>3817</v>
      </c>
      <c r="H32" s="288" t="s">
        <v>2746</v>
      </c>
    </row>
    <row r="33" spans="1:8" x14ac:dyDescent="0.25">
      <c r="A33" s="481"/>
      <c r="B33" s="288" t="s">
        <v>3818</v>
      </c>
      <c r="C33" s="330" t="s">
        <v>3819</v>
      </c>
      <c r="D33" s="288" t="s">
        <v>3820</v>
      </c>
      <c r="E33" s="288" t="s">
        <v>3821</v>
      </c>
      <c r="F33" s="288" t="s">
        <v>3822</v>
      </c>
      <c r="G33" s="288" t="s">
        <v>3823</v>
      </c>
      <c r="H33" s="288" t="s">
        <v>3824</v>
      </c>
    </row>
    <row r="34" spans="1:8" x14ac:dyDescent="0.25">
      <c r="A34" s="481"/>
      <c r="B34" s="288" t="s">
        <v>3825</v>
      </c>
      <c r="C34" s="330" t="s">
        <v>3826</v>
      </c>
      <c r="D34" s="288" t="s">
        <v>3827</v>
      </c>
      <c r="E34" s="288" t="s">
        <v>3821</v>
      </c>
      <c r="F34" s="288" t="s">
        <v>3828</v>
      </c>
      <c r="G34" s="288" t="s">
        <v>3829</v>
      </c>
      <c r="H34" s="288" t="s">
        <v>3830</v>
      </c>
    </row>
    <row r="35" spans="1:8" x14ac:dyDescent="0.25">
      <c r="A35" s="481"/>
      <c r="B35" s="288" t="s">
        <v>3831</v>
      </c>
      <c r="C35" s="330" t="s">
        <v>2748</v>
      </c>
      <c r="D35" s="288" t="s">
        <v>3832</v>
      </c>
      <c r="E35" s="288" t="s">
        <v>3821</v>
      </c>
      <c r="F35" s="288" t="s">
        <v>3833</v>
      </c>
      <c r="G35" s="288" t="s">
        <v>3834</v>
      </c>
      <c r="H35" s="288" t="s">
        <v>2749</v>
      </c>
    </row>
    <row r="36" spans="1:8" x14ac:dyDescent="0.25">
      <c r="A36" s="481"/>
      <c r="B36" s="288" t="s">
        <v>3835</v>
      </c>
      <c r="C36" s="330" t="s">
        <v>3836</v>
      </c>
      <c r="D36" s="288" t="s">
        <v>3837</v>
      </c>
      <c r="E36" s="288" t="s">
        <v>3821</v>
      </c>
      <c r="F36" s="288" t="s">
        <v>3838</v>
      </c>
      <c r="G36" s="288" t="s">
        <v>3839</v>
      </c>
      <c r="H36" s="288" t="s">
        <v>3840</v>
      </c>
    </row>
    <row r="37" spans="1:8" x14ac:dyDescent="0.25">
      <c r="A37" s="481"/>
      <c r="B37" s="288" t="s">
        <v>3841</v>
      </c>
      <c r="C37" s="330" t="s">
        <v>3842</v>
      </c>
      <c r="D37" s="288" t="s">
        <v>3843</v>
      </c>
      <c r="E37" s="288" t="s">
        <v>3821</v>
      </c>
      <c r="F37" s="288" t="s">
        <v>3844</v>
      </c>
      <c r="G37" s="288" t="s">
        <v>3845</v>
      </c>
      <c r="H37" s="288" t="s">
        <v>3846</v>
      </c>
    </row>
    <row r="38" spans="1:8" x14ac:dyDescent="0.25">
      <c r="A38" s="481"/>
      <c r="B38" s="288" t="s">
        <v>3847</v>
      </c>
      <c r="C38" s="330" t="s">
        <v>3848</v>
      </c>
      <c r="D38" s="288" t="s">
        <v>3849</v>
      </c>
      <c r="E38" s="288" t="s">
        <v>3821</v>
      </c>
      <c r="F38" s="288" t="s">
        <v>3850</v>
      </c>
      <c r="G38" s="288" t="s">
        <v>3851</v>
      </c>
      <c r="H38" s="288" t="s">
        <v>3852</v>
      </c>
    </row>
    <row r="39" spans="1:8" x14ac:dyDescent="0.25">
      <c r="A39" s="481"/>
      <c r="B39" s="288" t="s">
        <v>3853</v>
      </c>
      <c r="C39" s="330" t="s">
        <v>3854</v>
      </c>
      <c r="D39" s="288" t="s">
        <v>3855</v>
      </c>
      <c r="E39" s="288" t="s">
        <v>3821</v>
      </c>
      <c r="F39" s="288" t="s">
        <v>3856</v>
      </c>
      <c r="G39" s="288" t="s">
        <v>3857</v>
      </c>
      <c r="H39" s="288" t="s">
        <v>3858</v>
      </c>
    </row>
    <row r="40" spans="1:8" x14ac:dyDescent="0.25">
      <c r="A40" s="481"/>
      <c r="B40" s="288" t="s">
        <v>3859</v>
      </c>
      <c r="C40" s="330" t="s">
        <v>3860</v>
      </c>
      <c r="D40" s="288" t="s">
        <v>3861</v>
      </c>
      <c r="E40" s="288" t="s">
        <v>3821</v>
      </c>
      <c r="F40" s="288" t="s">
        <v>3862</v>
      </c>
      <c r="G40" s="288" t="s">
        <v>3863</v>
      </c>
      <c r="H40" s="288" t="s">
        <v>3864</v>
      </c>
    </row>
    <row r="41" spans="1:8" x14ac:dyDescent="0.25">
      <c r="A41" s="481"/>
      <c r="B41" s="288" t="s">
        <v>3865</v>
      </c>
      <c r="C41" s="330" t="s">
        <v>3866</v>
      </c>
      <c r="D41" s="288" t="s">
        <v>3867</v>
      </c>
      <c r="E41" s="288" t="s">
        <v>3821</v>
      </c>
      <c r="F41" s="288" t="s">
        <v>3868</v>
      </c>
      <c r="G41" s="288" t="s">
        <v>3869</v>
      </c>
      <c r="H41" s="288" t="s">
        <v>3870</v>
      </c>
    </row>
    <row r="42" spans="1:8" s="331" customFormat="1" ht="15.75" thickBot="1" x14ac:dyDescent="0.3">
      <c r="A42" s="482"/>
      <c r="B42" s="331" t="s">
        <v>3871</v>
      </c>
      <c r="C42" s="332" t="s">
        <v>3872</v>
      </c>
      <c r="D42" s="331" t="s">
        <v>3873</v>
      </c>
      <c r="E42" s="331" t="s">
        <v>3821</v>
      </c>
      <c r="F42" s="331" t="s">
        <v>3874</v>
      </c>
      <c r="G42" s="331" t="s">
        <v>3875</v>
      </c>
      <c r="H42" s="331" t="s">
        <v>3876</v>
      </c>
    </row>
    <row r="43" spans="1:8" s="279" customFormat="1" x14ac:dyDescent="0.25">
      <c r="A43" s="480" t="s">
        <v>4112</v>
      </c>
      <c r="B43" s="279" t="s">
        <v>3797</v>
      </c>
      <c r="C43" s="337" t="s">
        <v>2745</v>
      </c>
      <c r="D43" s="279" t="s">
        <v>4001</v>
      </c>
      <c r="E43" s="279" t="s">
        <v>4002</v>
      </c>
      <c r="F43" s="279" t="s">
        <v>4003</v>
      </c>
      <c r="G43" s="279" t="s">
        <v>4004</v>
      </c>
      <c r="H43" s="279" t="s">
        <v>4005</v>
      </c>
    </row>
    <row r="44" spans="1:8" s="279" customFormat="1" x14ac:dyDescent="0.25">
      <c r="A44" s="481"/>
      <c r="B44" s="279" t="s">
        <v>3764</v>
      </c>
      <c r="C44" s="337" t="s">
        <v>2750</v>
      </c>
      <c r="D44" s="279" t="s">
        <v>4006</v>
      </c>
      <c r="E44" s="279" t="s">
        <v>4007</v>
      </c>
      <c r="F44" s="279" t="s">
        <v>4008</v>
      </c>
      <c r="G44" s="279" t="s">
        <v>4009</v>
      </c>
      <c r="H44" s="279" t="s">
        <v>2751</v>
      </c>
    </row>
    <row r="45" spans="1:8" s="279" customFormat="1" x14ac:dyDescent="0.25">
      <c r="A45" s="481"/>
      <c r="B45" s="279" t="s">
        <v>3790</v>
      </c>
      <c r="C45" s="337" t="s">
        <v>3791</v>
      </c>
      <c r="D45" s="279" t="s">
        <v>4010</v>
      </c>
      <c r="E45" s="279" t="s">
        <v>4011</v>
      </c>
      <c r="F45" s="279" t="s">
        <v>4012</v>
      </c>
      <c r="G45" s="279" t="s">
        <v>4013</v>
      </c>
      <c r="H45" s="279" t="s">
        <v>3796</v>
      </c>
    </row>
    <row r="46" spans="1:8" s="279" customFormat="1" x14ac:dyDescent="0.25">
      <c r="A46" s="481"/>
      <c r="B46" s="279" t="s">
        <v>3803</v>
      </c>
      <c r="C46" s="337" t="s">
        <v>3804</v>
      </c>
      <c r="D46" s="279" t="s">
        <v>4014</v>
      </c>
      <c r="E46" s="279" t="s">
        <v>4015</v>
      </c>
      <c r="F46" s="279" t="s">
        <v>4016</v>
      </c>
      <c r="G46" s="279" t="s">
        <v>4017</v>
      </c>
      <c r="H46" s="279" t="s">
        <v>2747</v>
      </c>
    </row>
    <row r="47" spans="1:8" s="279" customFormat="1" x14ac:dyDescent="0.25">
      <c r="A47" s="481"/>
      <c r="B47" s="279" t="s">
        <v>3812</v>
      </c>
      <c r="C47" s="337" t="s">
        <v>3813</v>
      </c>
      <c r="D47" s="279" t="s">
        <v>4018</v>
      </c>
      <c r="E47" s="279" t="s">
        <v>4019</v>
      </c>
      <c r="F47" s="279" t="s">
        <v>4020</v>
      </c>
      <c r="G47" s="279" t="s">
        <v>4021</v>
      </c>
      <c r="H47" s="279" t="s">
        <v>2746</v>
      </c>
    </row>
    <row r="48" spans="1:8" s="279" customFormat="1" x14ac:dyDescent="0.25">
      <c r="A48" s="481"/>
      <c r="B48" s="279" t="s">
        <v>3771</v>
      </c>
      <c r="C48" s="337" t="s">
        <v>4022</v>
      </c>
      <c r="D48" s="279" t="s">
        <v>4023</v>
      </c>
      <c r="E48" s="279" t="s">
        <v>4024</v>
      </c>
      <c r="F48" s="279" t="s">
        <v>4025</v>
      </c>
      <c r="G48" s="279" t="s">
        <v>4026</v>
      </c>
      <c r="H48" s="279" t="s">
        <v>4027</v>
      </c>
    </row>
    <row r="49" spans="1:8" s="279" customFormat="1" x14ac:dyDescent="0.25">
      <c r="A49" s="481"/>
      <c r="B49" s="279" t="s">
        <v>4028</v>
      </c>
      <c r="C49" s="337" t="s">
        <v>4029</v>
      </c>
      <c r="D49" s="279" t="s">
        <v>4030</v>
      </c>
      <c r="E49" s="279" t="s">
        <v>4031</v>
      </c>
      <c r="F49" s="279" t="s">
        <v>4032</v>
      </c>
      <c r="G49" s="279" t="s">
        <v>4033</v>
      </c>
      <c r="H49" s="279" t="s">
        <v>4034</v>
      </c>
    </row>
    <row r="50" spans="1:8" s="279" customFormat="1" x14ac:dyDescent="0.25">
      <c r="A50" s="481"/>
      <c r="B50" s="279" t="s">
        <v>3831</v>
      </c>
      <c r="C50" s="337" t="s">
        <v>2748</v>
      </c>
      <c r="D50" s="279" t="s">
        <v>4035</v>
      </c>
      <c r="E50" s="279" t="s">
        <v>4036</v>
      </c>
      <c r="F50" s="279" t="s">
        <v>4037</v>
      </c>
      <c r="G50" s="279" t="s">
        <v>4038</v>
      </c>
      <c r="H50" s="279" t="s">
        <v>2749</v>
      </c>
    </row>
    <row r="51" spans="1:8" s="279" customFormat="1" x14ac:dyDescent="0.25">
      <c r="A51" s="481"/>
      <c r="B51" s="279" t="s">
        <v>3809</v>
      </c>
      <c r="C51" s="337" t="s">
        <v>3984</v>
      </c>
      <c r="D51" s="279" t="s">
        <v>4039</v>
      </c>
      <c r="E51" s="279" t="s">
        <v>4040</v>
      </c>
      <c r="F51" s="279" t="s">
        <v>4041</v>
      </c>
      <c r="G51" s="279" t="s">
        <v>4042</v>
      </c>
      <c r="H51" s="279" t="s">
        <v>4043</v>
      </c>
    </row>
    <row r="52" spans="1:8" s="279" customFormat="1" x14ac:dyDescent="0.25">
      <c r="A52" s="481"/>
      <c r="B52" s="279" t="s">
        <v>3783</v>
      </c>
      <c r="C52" s="337" t="s">
        <v>4044</v>
      </c>
      <c r="D52" s="279" t="s">
        <v>4045</v>
      </c>
      <c r="E52" s="279" t="s">
        <v>4046</v>
      </c>
      <c r="F52" s="279" t="s">
        <v>4047</v>
      </c>
      <c r="G52" s="279" t="s">
        <v>4048</v>
      </c>
      <c r="H52" s="279" t="s">
        <v>4049</v>
      </c>
    </row>
    <row r="53" spans="1:8" s="279" customFormat="1" x14ac:dyDescent="0.25">
      <c r="A53" s="481"/>
      <c r="B53" s="279" t="s">
        <v>4050</v>
      </c>
      <c r="C53" s="337" t="s">
        <v>4051</v>
      </c>
      <c r="D53" s="279" t="s">
        <v>4052</v>
      </c>
      <c r="E53" s="279" t="s">
        <v>4053</v>
      </c>
      <c r="F53" s="279" t="s">
        <v>4054</v>
      </c>
      <c r="G53" s="279" t="s">
        <v>4055</v>
      </c>
      <c r="H53" s="279" t="s">
        <v>4056</v>
      </c>
    </row>
    <row r="54" spans="1:8" s="279" customFormat="1" x14ac:dyDescent="0.25">
      <c r="A54" s="481"/>
      <c r="B54" s="279" t="s">
        <v>3757</v>
      </c>
      <c r="C54" s="337" t="s">
        <v>4057</v>
      </c>
      <c r="D54" s="279" t="s">
        <v>4058</v>
      </c>
      <c r="E54" s="279" t="s">
        <v>4059</v>
      </c>
      <c r="F54" s="279" t="s">
        <v>4060</v>
      </c>
      <c r="G54" s="279" t="s">
        <v>4061</v>
      </c>
      <c r="H54" s="279" t="s">
        <v>4062</v>
      </c>
    </row>
    <row r="55" spans="1:8" s="279" customFormat="1" x14ac:dyDescent="0.25">
      <c r="A55" s="481"/>
      <c r="B55" s="279" t="s">
        <v>4063</v>
      </c>
      <c r="C55" s="337" t="s">
        <v>4064</v>
      </c>
      <c r="D55" s="279" t="s">
        <v>4065</v>
      </c>
      <c r="E55" s="279" t="s">
        <v>4066</v>
      </c>
      <c r="F55" s="279" t="s">
        <v>4067</v>
      </c>
      <c r="G55" s="279" t="s">
        <v>4068</v>
      </c>
      <c r="H55" s="279" t="s">
        <v>4069</v>
      </c>
    </row>
    <row r="56" spans="1:8" s="279" customFormat="1" x14ac:dyDescent="0.25">
      <c r="A56" s="481"/>
      <c r="B56" s="279" t="s">
        <v>4070</v>
      </c>
      <c r="C56" s="337" t="s">
        <v>2753</v>
      </c>
      <c r="D56" s="279" t="s">
        <v>4071</v>
      </c>
      <c r="E56" s="279" t="s">
        <v>4072</v>
      </c>
      <c r="F56" s="279" t="s">
        <v>4016</v>
      </c>
      <c r="G56" s="279" t="s">
        <v>4073</v>
      </c>
      <c r="H56" s="279" t="s">
        <v>2754</v>
      </c>
    </row>
    <row r="57" spans="1:8" s="279" customFormat="1" x14ac:dyDescent="0.25">
      <c r="A57" s="481"/>
      <c r="B57" s="279" t="s">
        <v>4074</v>
      </c>
      <c r="C57" s="337" t="s">
        <v>4075</v>
      </c>
      <c r="D57" s="279" t="s">
        <v>4076</v>
      </c>
      <c r="E57" s="279" t="s">
        <v>4077</v>
      </c>
      <c r="F57" s="279" t="s">
        <v>4078</v>
      </c>
      <c r="G57" s="279" t="s">
        <v>4079</v>
      </c>
      <c r="H57" s="279" t="s">
        <v>4080</v>
      </c>
    </row>
    <row r="58" spans="1:8" s="279" customFormat="1" x14ac:dyDescent="0.25">
      <c r="A58" s="481"/>
      <c r="B58" s="279" t="s">
        <v>4081</v>
      </c>
      <c r="C58" s="337" t="s">
        <v>4082</v>
      </c>
      <c r="D58" s="279" t="s">
        <v>4083</v>
      </c>
      <c r="E58" s="279" t="s">
        <v>4084</v>
      </c>
      <c r="F58" s="279" t="s">
        <v>4085</v>
      </c>
      <c r="G58" s="279" t="s">
        <v>4086</v>
      </c>
      <c r="H58" s="279" t="s">
        <v>4087</v>
      </c>
    </row>
    <row r="59" spans="1:8" s="279" customFormat="1" x14ac:dyDescent="0.25">
      <c r="A59" s="481"/>
      <c r="B59" s="279" t="s">
        <v>4088</v>
      </c>
      <c r="C59" s="337" t="s">
        <v>2765</v>
      </c>
      <c r="D59" s="279" t="s">
        <v>4089</v>
      </c>
      <c r="E59" s="279" t="s">
        <v>4090</v>
      </c>
      <c r="F59" s="279" t="s">
        <v>4091</v>
      </c>
      <c r="G59" s="279" t="s">
        <v>4092</v>
      </c>
      <c r="H59" s="279" t="s">
        <v>4093</v>
      </c>
    </row>
    <row r="60" spans="1:8" s="279" customFormat="1" x14ac:dyDescent="0.25">
      <c r="A60" s="481"/>
      <c r="B60" s="279" t="s">
        <v>4094</v>
      </c>
      <c r="C60" s="337" t="s">
        <v>4095</v>
      </c>
      <c r="D60" s="279" t="s">
        <v>4096</v>
      </c>
      <c r="E60" s="279" t="s">
        <v>4097</v>
      </c>
      <c r="F60" s="279" t="s">
        <v>4098</v>
      </c>
      <c r="G60" s="279" t="s">
        <v>4099</v>
      </c>
      <c r="H60" s="279" t="s">
        <v>4100</v>
      </c>
    </row>
    <row r="61" spans="1:8" s="279" customFormat="1" x14ac:dyDescent="0.25">
      <c r="A61" s="481"/>
      <c r="B61" s="279" t="s">
        <v>3778</v>
      </c>
      <c r="C61" s="337" t="s">
        <v>2755</v>
      </c>
      <c r="D61" s="279" t="s">
        <v>4101</v>
      </c>
      <c r="E61" s="279" t="s">
        <v>4102</v>
      </c>
      <c r="F61" s="279" t="s">
        <v>4103</v>
      </c>
      <c r="G61" s="279" t="s">
        <v>4104</v>
      </c>
      <c r="H61" s="279" t="s">
        <v>2756</v>
      </c>
    </row>
    <row r="62" spans="1:8" s="279" customFormat="1" ht="15.75" thickBot="1" x14ac:dyDescent="0.3">
      <c r="A62" s="482"/>
      <c r="B62" s="338" t="s">
        <v>4105</v>
      </c>
      <c r="C62" s="339" t="s">
        <v>4106</v>
      </c>
      <c r="D62" s="338" t="s">
        <v>4107</v>
      </c>
      <c r="E62" s="338" t="s">
        <v>4108</v>
      </c>
      <c r="F62" s="338" t="s">
        <v>4109</v>
      </c>
      <c r="G62" s="279" t="s">
        <v>4110</v>
      </c>
      <c r="H62" s="338" t="s">
        <v>2752</v>
      </c>
    </row>
    <row r="63" spans="1:8" x14ac:dyDescent="0.25">
      <c r="G63" s="335"/>
    </row>
  </sheetData>
  <mergeCells count="4">
    <mergeCell ref="A23:A42"/>
    <mergeCell ref="A3:A22"/>
    <mergeCell ref="A43:A6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5</vt:i4>
      </vt:variant>
      <vt:variant>
        <vt:lpstr>Namngivna områden</vt:lpstr>
      </vt:variant>
      <vt:variant>
        <vt:i4>1</vt:i4>
      </vt:variant>
    </vt:vector>
  </HeadingPairs>
  <TitlesOfParts>
    <vt:vector size="6" baseType="lpstr">
      <vt:lpstr>S1. Sequencing</vt:lpstr>
      <vt:lpstr>S2. Germline genes</vt:lpstr>
      <vt:lpstr>S3. SNV</vt:lpstr>
      <vt:lpstr>S4. SV</vt:lpstr>
      <vt:lpstr>S5. KEGG</vt:lpstr>
      <vt:lpstr>'S2. Germline genes'!Supplemental_file_1_Cancergenes</vt:lpstr>
    </vt:vector>
  </TitlesOfParts>
  <Company>Gothenburg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Fransson</dc:creator>
  <cp:lastModifiedBy>Susanne Fransson</cp:lastModifiedBy>
  <cp:lastPrinted>2020-02-10T13:36:06Z</cp:lastPrinted>
  <dcterms:created xsi:type="dcterms:W3CDTF">2019-02-05T13:13:57Z</dcterms:created>
  <dcterms:modified xsi:type="dcterms:W3CDTF">2020-10-22T18:29:48Z</dcterms:modified>
</cp:coreProperties>
</file>